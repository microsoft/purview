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microsoft-my.sharepoint.com/personal/nickbear_microsoft_com/Documents/Desktop/Sensitivity Label Workbook Project/"/>
    </mc:Choice>
  </mc:AlternateContent>
  <xr:revisionPtr revIDLastSave="0" documentId="8_{1FBFE013-BAA8-4A1D-8FB2-A2CDE7816439}" xr6:coauthVersionLast="47" xr6:coauthVersionMax="47" xr10:uidLastSave="{00000000-0000-0000-0000-000000000000}"/>
  <bookViews>
    <workbookView xWindow="15920" yWindow="220" windowWidth="4947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4" i="4"/>
  <c r="M15" i="4"/>
  <c r="M16" i="4"/>
  <c r="M17" i="4"/>
  <c r="M18" i="4"/>
  <c r="M19" i="4"/>
  <c r="M20" i="4"/>
  <c r="M21" i="4"/>
  <c r="O13" i="4"/>
  <c r="O14" i="4"/>
  <c r="O15" i="4"/>
  <c r="O16" i="4"/>
  <c r="O17" i="4"/>
  <c r="O18" i="4"/>
  <c r="O19" i="4"/>
  <c r="O20" i="4"/>
  <c r="O21"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M12" i="4" l="1"/>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B31" i="6"/>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O24" i="4"/>
  <c r="N24" i="4"/>
  <c r="E24" i="4"/>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M24" i="4"/>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<sst xmlns="http://schemas.openxmlformats.org/spreadsheetml/2006/main" count="2642" uniqueCount="408">
  <si>
    <t>Sens</t>
  </si>
  <si>
    <t>Tab Location</t>
  </si>
  <si>
    <t>Emails</t>
  </si>
  <si>
    <t>Teams</t>
  </si>
  <si>
    <t>Group Check</t>
  </si>
  <si>
    <t>LabelE</t>
  </si>
  <si>
    <t>LabelM</t>
  </si>
  <si>
    <t>LabelG</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</si>
  <si>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</si>
  <si>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</si>
  <si>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</si>
  <si>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</si>
  <si>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</si>
  <si>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</si>
  <si>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</si>
  <si>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</si>
  <si>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</si>
  <si>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</si>
  <si>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</si>
  <si>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</si>
  <si>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</si>
  <si>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</si>
  <si>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</si>
  <si>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</si>
  <si>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</si>
  <si>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</si>
  <si>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</si>
  <si>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</si>
  <si>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</si>
  <si>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</si>
  <si>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Pending checkbox selection on Sensitivity Labels Tab</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</si>
  <si>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</si>
  <si>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</si>
  <si>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</si>
  <si>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</si>
  <si>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</si>
  <si>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</si>
  <si>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</si>
  <si>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</si>
  <si>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</si>
  <si>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</si>
  <si>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</si>
  <si>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</si>
  <si>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</si>
  <si>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</si>
  <si>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</si>
  <si>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</si>
  <si>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</si>
  <si>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</si>
  <si>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</si>
  <si>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</si>
  <si>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</si>
  <si>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</si>
  <si>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</si>
  <si>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</si>
  <si>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</si>
  <si>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</si>
  <si>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</si>
  <si>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</si>
  <si>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</si>
  <si>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</si>
  <si>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</si>
  <si>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</si>
  <si>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</si>
  <si>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</si>
  <si>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</si>
  <si>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</si>
  <si>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</si>
  <si>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</si>
  <si>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</si>
  <si>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</si>
  <si>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</si>
  <si>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</si>
  <si>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</si>
  <si>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</si>
  <si>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</si>
  <si>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</si>
  <si>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</si>
  <si>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</si>
  <si>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</si>
  <si>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</si>
  <si>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</si>
  <si>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</si>
  <si>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</si>
  <si>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Migrate parent sensitivity labels to label groups</t>
  </si>
  <si>
    <t>https://learn.microsoft.com/en-us/purview/migrate-sensitivity-label-scheme</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</si>
  <si>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</si>
  <si>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</si>
  <si>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</si>
  <si>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</si>
  <si>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</si>
  <si>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</si>
  <si>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</si>
  <si>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</si>
  <si>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</si>
  <si>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</si>
  <si>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</si>
  <si>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</si>
  <si>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</si>
  <si>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</si>
  <si>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</si>
  <si>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</si>
  <si>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</si>
  <si>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</si>
  <si>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</si>
  <si>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</si>
  <si>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</si>
  <si>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</si>
  <si>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</si>
  <si>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</si>
  <si>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</si>
  <si>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</si>
  <si>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</si>
  <si>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</si>
  <si>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</si>
  <si>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</si>
  <si>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</si>
  <si>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</si>
  <si>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</si>
  <si>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</si>
  <si>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</si>
  <si>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</si>
  <si>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</si>
  <si>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</si>
  <si>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</si>
  <si>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</si>
  <si>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</si>
  <si>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</si>
  <si>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</si>
  <si>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</si>
  <si>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</si>
  <si>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</si>
  <si>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</si>
  <si>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</si>
  <si>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</si>
  <si>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</si>
  <si>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</si>
  <si>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</si>
  <si>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</si>
  <si>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</si>
  <si>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</si>
  <si>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</si>
  <si>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</si>
  <si>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</si>
  <si>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</si>
  <si>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Business data that is prepared and approved for public consumption.</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</si>
  <si>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</si>
  <si>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</si>
  <si>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</si>
  <si>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</si>
  <si>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General</t>
  </si>
  <si>
    <t>Business data that isn't intended for public consumption. However, this can be shared with external partners, as required.</t>
  </si>
  <si>
    <t>Confidential</t>
  </si>
  <si>
    <t>All Employees</t>
  </si>
  <si>
    <t>Confidential data that requires protection, which allows all employees full permissions. Data owners can track and revoke content.</t>
  </si>
  <si>
    <t>Specific People</t>
  </si>
  <si>
    <t>Confidential data that can be shared with trusted people inside and outside your organization. These people can also reshare the data as needed.</t>
  </si>
  <si>
    <t>Internal exception</t>
  </si>
  <si>
    <t>Confidential data that doesn’t need to be encrypted. Use this option with care and appropriate business justification.</t>
  </si>
  <si>
    <t>Highly Confidential</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</si>
  <si>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</si>
  <si>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</si>
  <si>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</si>
  <si>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</si>
  <si>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</si>
  <si>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</si>
  <si>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</si>
  <si>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</si>
  <si>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</si>
  <si>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</si>
  <si>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</si>
  <si>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</si>
  <si>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</si>
  <si>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</si>
  <si>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</si>
  <si>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</si>
  <si>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</si>
  <si>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</si>
  <si>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</si>
  <si>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</si>
  <si>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</si>
  <si>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</si>
  <si>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</si>
  <si>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</si>
  <si>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</si>
  <si>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</si>
  <si>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</si>
  <si>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</si>
  <si>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</si>
  <si>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</si>
  <si>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</si>
  <si>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</si>
  <si>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</si>
  <si>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</si>
  <si>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</si>
  <si>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</si>
  <si>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</si>
  <si>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</si>
  <si>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</si>
  <si>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</si>
  <si>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</si>
  <si>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</si>
  <si>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</si>
  <si>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</si>
  <si>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</si>
  <si>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</si>
  <si>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</si>
  <si>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</si>
  <si>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</si>
  <si>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</si>
  <si>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</si>
  <si>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</si>
  <si>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</si>
  <si>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</si>
  <si>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</si>
  <si>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</si>
  <si>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</si>
  <si>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</si>
  <si>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</si>
  <si>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</si>
  <si>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</si>
  <si>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</si>
  <si>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All users and groups in the org: Co-Author</t>
  </si>
  <si>
    <t>Classified as Confidential</t>
  </si>
  <si>
    <t>Select check box as needed check box as needed</t>
  </si>
  <si>
    <t>Consider automatically applying on sensitive information types such as 'All credentials'.</t>
  </si>
  <si>
    <t>Highly Confidential 
${Consumer.PrincipalName} 
${Device.DateTime}</t>
  </si>
  <si>
    <t>Classified as Highly Confidential</t>
  </si>
  <si>
    <t>Protection was applied due to containing highly sensitive information.</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</si>
  <si>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</si>
  <si>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</si>
  <si>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</si>
  <si>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</si>
  <si>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</si>
  <si>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</si>
  <si>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</si>
  <si>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</si>
  <si>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</si>
  <si>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</si>
  <si>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</si>
  <si>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</si>
  <si>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</si>
  <si>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</si>
  <si>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</si>
  <si>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</si>
  <si>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</si>
  <si>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</si>
  <si>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</si>
  <si>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</si>
  <si>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</si>
  <si>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</si>
  <si>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</si>
  <si>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</si>
  <si>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</si>
  <si>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</si>
  <si>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</si>
  <si>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</si>
  <si>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</si>
  <si>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</si>
  <si>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</si>
  <si>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</si>
  <si>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</si>
  <si>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</si>
  <si>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</si>
  <si>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</si>
  <si>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</si>
  <si>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</si>
  <si>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</si>
  <si>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</si>
  <si>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</si>
  <si>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</si>
  <si>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</si>
  <si>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</si>
  <si>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</si>
  <si>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</si>
  <si>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</si>
  <si>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</si>
  <si>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</si>
  <si>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</si>
  <si>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</si>
  <si>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</si>
  <si>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</si>
  <si>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</si>
  <si>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</si>
  <si>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</si>
  <si>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</si>
  <si>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</si>
  <si>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</si>
  <si>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</si>
  <si>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</si>
  <si>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</si>
  <si>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</si>
  <si>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</si>
  <si>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</si>
  <si>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</si>
  <si>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</si>
  <si>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</si>
  <si>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</si>
  <si>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</si>
  <si>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</si>
  <si>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</si>
  <si>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</si>
  <si>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</si>
  <si>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</si>
  <si>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</si>
  <si>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</si>
  <si>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</si>
  <si>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</si>
  <si>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</si>
  <si>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</si>
  <si>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</si>
  <si>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</si>
  <si>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</si>
  <si>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</si>
  <si>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</si>
  <si>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</si>
  <si>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</si>
  <si>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</si>
  <si>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</si>
  <si>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</si>
  <si>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</si>
  <si>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</si>
  <si>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Company Wide</t>
  </si>
  <si>
    <t>All Labels</t>
  </si>
  <si>
    <t>All users and groups</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</si>
  <si>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</si>
  <si>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</si>
  <si>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</si>
  <si>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</si>
  <si>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</si>
  <si>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</si>
  <si>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</si>
  <si>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</si>
  <si>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</si>
  <si>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</si>
  <si>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</si>
  <si>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</si>
  <si>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</si>
  <si>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</si>
  <si>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Your internal Intranet SharePoint Online page with your Sensitivity Label information.</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</si>
  <si>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</si>
  <si>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</si>
  <si>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</si>
  <si>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</si>
  <si>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</si>
  <si>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</si>
  <si>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</si>
  <si>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</si>
  <si>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</si>
  <si>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</si>
  <si>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</si>
  <si>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</si>
  <si>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</si>
  <si>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</si>
  <si>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</si>
  <si>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</si>
  <si>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</si>
  <si>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</si>
  <si>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</si>
  <si>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</si>
  <si>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</si>
  <si>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</si>
  <si>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</si>
  <si>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</si>
  <si>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</si>
  <si>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</si>
  <si>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</si>
  <si>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</si>
  <si>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</si>
  <si>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</si>
  <si>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</si>
  <si>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</si>
  <si>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</si>
  <si>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</si>
  <si>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</si>
  <si>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</si>
  <si>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</si>
  <si>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</si>
  <si>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</si>
  <si>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</si>
  <si>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</si>
  <si>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</si>
  <si>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</si>
  <si>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</si>
  <si>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</si>
  <si>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</si>
  <si>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</si>
  <si>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</si>
  <si>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</si>
  <si>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</si>
  <si>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</si>
  <si>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</si>
  <si>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Block All Employee labled content to External</t>
  </si>
  <si>
    <t>Exchange, SharePoint, OneDrive, Devices</t>
  </si>
  <si>
    <t xml:space="preserve">Blocking all employees labeled content (Confidential/Highly Confidential.) shared to external people. </t>
  </si>
  <si>
    <t>Show policy tips while in simulation mode</t>
  </si>
  <si>
    <t>Turn the policy on if it's not edited within fifteen days of simulation</t>
  </si>
  <si>
    <t>Block Unlabled content to External</t>
  </si>
  <si>
    <t>Blocking unlabeled content from sharing external.</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</si>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</sst>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9">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xf>
    <xf numFmtId="0" fontId="2" fillId="0" borderId="25" xfId="0" applyFont="1" applyBorder="1" applyAlignment="1">
      <alignment horizontal="center" vertical="center" wrapText="1"/>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26" fillId="0" borderId="0" xfId="0" applyFont="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wrapText="1"/>
    </xf>
    <xf numFmtId="0" fontId="9" fillId="0" borderId="0" xfId="0" applyFont="1" applyAlignment="1">
      <alignment vertical="top"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0" fillId="0" borderId="3" xfId="0" applyBorder="1"/>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0" fillId="0" borderId="4" xfId="0" applyBorder="1" applyAlignment="1">
      <alignment horizontal="center" vertical="center" wrapText="1"/>
    </xf>
    <xf numFmtId="0" fontId="26" fillId="4" borderId="1" xfId="0" applyFont="1" applyFill="1" applyBorder="1" applyAlignment="1">
      <alignment horizontal="center" vertical="center"/>
    </xf>
    <xf numFmtId="0" fontId="10" fillId="0" borderId="0" xfId="0" applyFont="1" applyAlignment="1">
      <alignment wrapText="1"/>
    </xf>
    <xf numFmtId="0" fontId="30" fillId="7" borderId="1" xfId="1" applyFill="1" applyBorder="1" applyAlignment="1">
      <alignment horizontal="center" vertical="center" wrapText="1"/>
    </xf>
    <xf numFmtId="0" fontId="0" fillId="7" borderId="1" xfId="0"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12" fillId="0" borderId="0" xfId="0" applyFont="1" applyAlignment="1">
      <alignment horizontal="center" wrapText="1"/>
    </xf>
    <xf numFmtId="0" fontId="10" fillId="0" borderId="0" xfId="0" applyFont="1" applyAlignment="1">
      <alignment horizontal="center" wrapText="1"/>
    </xf>
    <xf numFmtId="0" fontId="32" fillId="6" borderId="47"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0" fillId="0" borderId="8" xfId="0" applyBorder="1" applyAlignment="1">
      <alignment horizontal="center" vertical="center" wrapText="1"/>
    </xf>
    <xf numFmtId="0" fontId="26" fillId="7" borderId="3" xfId="0" applyFont="1" applyFill="1"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wrapText="1"/>
    </xf>
    <xf numFmtId="0" fontId="32" fillId="6" borderId="7" xfId="0" applyFont="1" applyFill="1" applyBorder="1" applyAlignment="1">
      <alignment horizontal="center" vertical="center" wrapText="1"/>
    </xf>
    <xf numFmtId="0" fontId="5" fillId="0" borderId="0" xfId="0" applyFont="1" applyAlignment="1">
      <alignment horizontal="left"/>
    </xf>
    <xf numFmtId="0" fontId="32" fillId="6" borderId="4"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0" borderId="0" xfId="0" applyAlignment="1">
      <alignment horizontal="center" vertical="top"/>
    </xf>
    <xf numFmtId="0" fontId="4" fillId="13" borderId="15" xfId="0" applyFont="1" applyFill="1" applyBorder="1" applyAlignment="1">
      <alignment horizontal="center" vertical="center"/>
    </xf>
    <xf numFmtId="0" fontId="26" fillId="14" borderId="10" xfId="0" applyFont="1" applyFill="1" applyBorder="1" applyAlignment="1">
      <alignment horizontal="center" vertical="center" wrapText="1"/>
    </xf>
    <xf numFmtId="0" fontId="1" fillId="0" borderId="0" xfId="0" applyFont="1" applyAlignment="1">
      <alignment horizontal="left"/>
    </xf>
    <xf numFmtId="0" fontId="32" fillId="6" borderId="46" xfId="0" applyFont="1" applyFill="1" applyBorder="1" applyAlignment="1">
      <alignment horizontal="center" vertical="center" wrapText="1"/>
    </xf>
    <xf numFmtId="0" fontId="0" fillId="0" borderId="5" xfId="0" applyBorder="1" applyAlignment="1">
      <alignment horizontal="center" wrapText="1"/>
    </xf>
    <xf numFmtId="0" fontId="0" fillId="0" borderId="0" xfId="0" applyAlignment="1">
      <alignment horizontal="center" vertical="center" wrapText="1"/>
    </xf>
    <xf numFmtId="0" fontId="0" fillId="0" borderId="68" xfId="0" applyBorder="1" applyAlignment="1">
      <alignment horizontal="center" vertical="center"/>
    </xf>
    <xf numFmtId="0" fontId="1" fillId="11" borderId="1" xfId="0" applyFont="1" applyFill="1" applyBorder="1" applyAlignment="1">
      <alignment horizontal="center" vertical="top" wrapText="1"/>
    </xf>
    <xf numFmtId="0" fontId="19" fillId="0" borderId="11"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wrapText="1"/>
    </xf>
    <xf numFmtId="1" fontId="5" fillId="0" borderId="0" xfId="0" applyNumberFormat="1" applyFont="1" applyAlignment="1">
      <alignment horizontal="center" wrapText="1"/>
    </xf>
    <xf numFmtId="0" fontId="20" fillId="7" borderId="1" xfId="0" applyFont="1" applyFill="1" applyBorder="1" applyAlignment="1">
      <alignment horizontal="center" vertical="center" wrapText="1"/>
    </xf>
    <xf numFmtId="0" fontId="0" fillId="0" borderId="0" xfId="0" applyAlignment="1">
      <alignment horizontal="left" wrapText="1"/>
    </xf>
    <xf numFmtId="0" fontId="5" fillId="0" borderId="0" xfId="0" applyFont="1" applyAlignment="1">
      <alignment horizontal="center" vertical="center" wrapText="1"/>
    </xf>
    <xf numFmtId="0" fontId="12" fillId="0" borderId="12" xfId="0" applyFont="1" applyBorder="1" applyAlignment="1">
      <alignment horizontal="center" wrapText="1"/>
    </xf>
    <xf numFmtId="0" fontId="6" fillId="8" borderId="3" xfId="0" applyFont="1"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49" xfId="0" applyFont="1" applyFill="1" applyBorder="1" applyAlignment="1">
      <alignment horizontal="center" wrapText="1"/>
    </xf>
    <xf numFmtId="0" fontId="0" fillId="0" borderId="0" xfId="0" applyAlignment="1">
      <alignment horizontal="left"/>
    </xf>
    <xf numFmtId="0" fontId="0" fillId="0" borderId="7" xfId="0" applyBorder="1" applyAlignment="1">
      <alignment horizontal="center" vertical="center"/>
    </xf>
    <xf numFmtId="0" fontId="0" fillId="0" borderId="11" xfId="0" applyBorder="1" applyAlignment="1">
      <alignment horizontal="center" vertical="top"/>
    </xf>
    <xf numFmtId="0" fontId="0" fillId="0" borderId="10" xfId="0" applyBorder="1" applyAlignment="1">
      <alignment horizontal="center" vertical="top"/>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2" tint="-0.499984740745262"/>
      </font>
      <fill>
        <patternFill>
          <bgColor theme="2" tint="-0.499984740745262"/>
        </patternFill>
      </fill>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top/>
        <bottom/>
        <vertical/>
        <horizontal/>
      </border>
    </dxf>
    <dxf>
      <font>
        <color theme="1"/>
      </font>
      <border>
        <bottom style="thin">
          <color auto="1"/>
        </bottom>
        <vertical/>
        <horizontal/>
      </border>
    </dxf>
    <dxf>
      <font>
        <color theme="1"/>
      </font>
      <border>
        <left style="thin">
          <color auto="1"/>
        </left>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2" tint="-0.24994659260841701"/>
      </font>
      <fill>
        <patternFill>
          <bgColor theme="2" tint="-0.24994659260841701"/>
        </patternFill>
      </fill>
    </dxf>
    <dxf>
      <font>
        <color theme="2" tint="-0.499984740745262"/>
      </font>
      <fill>
        <patternFill>
          <bgColor theme="2" tint="-0.499984740745262"/>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dxf>
    <dxf>
      <font>
        <color theme="0"/>
      </font>
      <fill>
        <patternFill>
          <bgColor theme="0"/>
        </patternFill>
      </fill>
      <border>
        <top style="thin">
          <color auto="1"/>
        </top>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style="thin">
          <color auto="1"/>
        </right>
        <top/>
        <bottom/>
        <vertical/>
        <horizontal/>
      </border>
    </dxf>
    <dxf>
      <font>
        <color theme="1"/>
      </font>
      <border>
        <left style="thin">
          <color auto="1"/>
        </left>
        <right style="thin">
          <color auto="1"/>
        </right>
        <top style="thin">
          <color auto="1"/>
        </top>
        <bottom style="thin">
          <color auto="1"/>
        </bottom>
        <vertical/>
        <horizontal/>
      </border>
    </dxf>
    <dxf>
      <font>
        <color theme="0"/>
      </font>
      <border>
        <right style="thin">
          <color auto="1"/>
        </right>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tint="-0.34998626667073579"/>
      </font>
    </dxf>
    <dxf>
      <font>
        <color theme="0"/>
      </font>
    </dxf>
    <dxf>
      <font>
        <color theme="1"/>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border>
        <left style="thin">
          <color auto="1"/>
        </left>
        <vertical/>
        <horizontal/>
      </border>
    </dxf>
    <dxf>
      <font>
        <color theme="1"/>
      </font>
      <border>
        <left style="thin">
          <color auto="1"/>
        </left>
        <right/>
        <top/>
        <bottom/>
        <vertical/>
        <horizontal/>
      </border>
    </dxf>
    <dxf>
      <font>
        <color theme="1"/>
      </font>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0"/>
      </font>
      <fill>
        <patternFill>
          <bgColor theme="0"/>
        </patternFill>
      </fill>
      <border>
        <left/>
        <right/>
        <top/>
        <bottom/>
        <vertical/>
        <horizontal/>
      </border>
    </dxf>
    <dxf>
      <font>
        <color theme="0"/>
      </font>
      <border>
        <left/>
        <right/>
        <top/>
        <bottom/>
      </border>
    </dxf>
    <dxf>
      <font>
        <color theme="1"/>
      </font>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border>
        <left style="thin">
          <color auto="1"/>
        </left>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0" tint="-0.34998626667073579"/>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4.4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c r="A1" s="3" t="str">
        <f>'Sensitivity Labels'!C1</f>
        <v>Sensitivity Labels</v>
      </c>
      <c r="C1" s="4" t="s">
        <v>0</v>
      </c>
      <c r="R1" s="3" t="s">
        <v>1</v>
      </c>
      <c r="S1" s="538" t="s">
        <v>2</v>
      </c>
      <c r="T1" s="538"/>
      <c r="U1" s="538"/>
      <c r="V1" s="538"/>
      <c r="X1" s="538" t="s">
        <v>3</v>
      </c>
      <c r="Y1" s="538"/>
      <c r="Z1" s="538"/>
      <c r="AA1" s="538"/>
      <c r="AB1" s="538"/>
      <c r="AC1" s="538"/>
      <c r="AD1" s="538"/>
      <c r="AE1" s="538"/>
      <c r="AF1" s="538"/>
      <c r="AG1" s="538"/>
      <c r="AH1" s="538"/>
      <c r="AI1" s="538"/>
      <c r="AJ1" s="538"/>
      <c r="AK1" s="538"/>
      <c r="AL1" s="538"/>
    </row>
    <row r="2" spans="1:54" ht="43.5">
      <c r="B2" s="5"/>
      <c r="C2" s="5"/>
      <c r="D2" s="4"/>
      <c r="E2" s="4"/>
      <c r="G2" s="4"/>
      <c r="H2" s="4" t="s">
        <v>4</v>
      </c>
      <c r="I2" s="154" t="str">
        <f>'Sensitivity Labels'!G11</f>
        <v>Files &amp; Other Data assets</v>
      </c>
      <c r="J2" s="154" t="str">
        <f>'Sensitivity Labels'!G13</f>
        <v>Emails</v>
      </c>
      <c r="K2" s="154" t="str">
        <f>'Sensitivity Labels'!G15</f>
        <v>Meetings</v>
      </c>
      <c r="L2" s="154" t="str">
        <f>'Sensitivity Labels'!G17</f>
        <v>Groups &amp; Sites</v>
      </c>
      <c r="M2" s="462" t="s">
        <v>5</v>
      </c>
      <c r="N2" s="462" t="s">
        <v>6</v>
      </c>
      <c r="O2" s="462" t="s">
        <v>7</v>
      </c>
      <c r="P2" s="4"/>
      <c r="R2" s="3" t="s">
        <v>8</v>
      </c>
      <c r="S2" s="4" t="s">
        <v>9</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c r="A3" s="5" t="s">
        <v>10</v>
      </c>
      <c r="B3" s="87">
        <f>G3</f>
        <v>1</v>
      </c>
      <c r="C3" s="5" t="str">
        <f>IF('Sensitivity Labels'!C11="","",'Sensitivity Labels'!C11)</f>
        <v>Label</v>
      </c>
      <c r="D3" s="5" t="str">
        <f>IF('Sensitivity Labels'!D11="","",C3&amp;"-"&amp;'Sensitivity Labels'!D11)</f>
        <v>Label-Public</v>
      </c>
      <c r="E3" s="5" t="str">
        <f t="shared" ref="E3:E22" si="0">IF(OR(C3="",(LEFT(D3,3)="Par"),RIGHT(C3,1)="p"),"",D3)</f>
        <v>Label-Public</v>
      </c>
      <c r="G3" s="5">
        <v>1</v>
      </c>
      <c r="H3" s="464" t="str">
        <f>IF(OR(C3=A$3,C3=A$4),"true","false")</f>
        <v>false</v>
      </c>
      <c r="I3" s="5" t="b">
        <f>'Sensitivity Labels'!F11</f>
        <v>1</v>
      </c>
      <c r="J3" s="5" t="b">
        <f>'Sensitivity Labels'!F13</f>
        <v>1</v>
      </c>
      <c r="K3" s="5" t="b">
        <f>'Sensitivity Labels'!F15</f>
        <v>0</v>
      </c>
      <c r="L3" s="5" t="b">
        <f>'Sensitivity Labels'!F17</f>
        <v>0</v>
      </c>
      <c r="M3" s="465" t="str">
        <f t="shared" ref="M3:M22" si="1">(IF(D3="",P$3,IF(H3="TRUE",D3,(IF(OR(I3=TRUE,J3=TRUE),D3,(D3&amp;" - "&amp;P$4))))))</f>
        <v>Label-Public</v>
      </c>
      <c r="N3" s="465" t="str">
        <f>IF(D3="",P$3,IF(H3="True",D3,(IF(AND(I3=TRUE,J3=TRUE,K3=TRUE),$D3,(D3&amp;" - "&amp; P$4)))))</f>
        <v>Label-Public - Pending checkbox selection on Sensitivity Labels Tab</v>
      </c>
      <c r="O3" s="465" t="str">
        <f t="shared" ref="O3:O22" si="2">IF(D3="",P$3,IF(H3="true",D3,IF(L3=TRUE,$D3,(D3&amp;" - "&amp;P$4))))</f>
        <v>Label-Public - Pending checkbox selection on Sensitivity Labels Tab</v>
      </c>
      <c r="P3" s="87" t="s">
        <v>11</v>
      </c>
      <c r="R3" s="539" t="s">
        <v>12</v>
      </c>
      <c r="S3" s="5" t="s">
        <v>13</v>
      </c>
      <c r="V3" s="5" t="s">
        <v>14</v>
      </c>
      <c r="X3" s="6" t="s">
        <v>15</v>
      </c>
      <c r="Z3" s="6" t="s">
        <v>15</v>
      </c>
      <c r="AB3" s="6" t="s">
        <v>16</v>
      </c>
      <c r="AD3" s="6" t="s">
        <v>17</v>
      </c>
      <c r="AF3" s="5" t="s">
        <v>18</v>
      </c>
      <c r="AH3" s="6" t="s">
        <v>19</v>
      </c>
      <c r="AJ3" s="5" t="s">
        <v>20</v>
      </c>
      <c r="AL3" s="5" t="s">
        <v>21</v>
      </c>
      <c r="AN3" s="5" t="s">
        <v>22</v>
      </c>
      <c r="AP3" s="5" t="s">
        <v>23</v>
      </c>
      <c r="AR3" s="5" t="s">
        <v>24</v>
      </c>
      <c r="AT3" s="5" t="s">
        <v>25</v>
      </c>
      <c r="AV3" s="5" t="s">
        <v>20</v>
      </c>
      <c r="AX3" s="5" t="s">
        <v>26</v>
      </c>
      <c r="AZ3" s="5" t="s">
        <v>27</v>
      </c>
      <c r="BB3" s="20" t="s">
        <v>28</v>
      </c>
    </row>
    <row r="4" spans="1:54" ht="32.1">
      <c r="A4" s="5" t="s">
        <v>29</v>
      </c>
      <c r="B4" s="87">
        <f t="shared" ref="B4:B22" si="3">G4</f>
        <v>2</v>
      </c>
      <c r="C4" s="5" t="str">
        <f>IF('Sensitivity Labels'!C19="","",'Sensitivity Labels'!C19)</f>
        <v>Label</v>
      </c>
      <c r="D4" s="5" t="str">
        <f>IF('Sensitivity Labels'!D19="","",C4&amp;"-"&amp;'Sensitivity Labels'!D19)</f>
        <v>Label-General</v>
      </c>
      <c r="E4" s="5" t="str">
        <f>IF(OR(C4="",(LEFT(D4,3)="Par"),RIGHT(C4,1)="p"),"",D4)</f>
        <v>Label-General</v>
      </c>
      <c r="G4" s="5">
        <f>G3+1</f>
        <v>2</v>
      </c>
      <c r="H4" s="464" t="str">
        <f t="shared" ref="H4:H22" si="4">IF(OR(C4=A$3,C4=A$4),"true","false")</f>
        <v>false</v>
      </c>
      <c r="I4" s="5" t="b">
        <f>'Sensitivity Labels'!F19</f>
        <v>1</v>
      </c>
      <c r="J4" s="5" t="b">
        <f>'Sensitivity Labels'!F21</f>
        <v>1</v>
      </c>
      <c r="K4" s="5" t="b">
        <f>'Sensitivity Labels'!F23</f>
        <v>1</v>
      </c>
      <c r="L4" s="5" t="b">
        <f>'Sensitivity Labels'!F25</f>
        <v>1</v>
      </c>
      <c r="M4" s="465" t="str">
        <f t="shared" si="1"/>
        <v>Label-General</v>
      </c>
      <c r="N4" s="465" t="str">
        <f t="shared" ref="N4:N22" si="5">IF(D4="",P$3,IF(H4="True",D4,(IF(AND(I4=TRUE,J4=TRUE,K4=TRUE),$D4,(D4&amp;" - "&amp;P$4)))))</f>
        <v>Label-General</v>
      </c>
      <c r="O4" s="465" t="str">
        <f t="shared" si="2"/>
        <v>Label-General</v>
      </c>
      <c r="P4" s="471" t="s">
        <v>30</v>
      </c>
      <c r="R4" s="539"/>
      <c r="S4" s="5" t="s">
        <v>31</v>
      </c>
      <c r="V4" s="5" t="s">
        <v>32</v>
      </c>
      <c r="X4" s="6" t="s">
        <v>33</v>
      </c>
      <c r="Z4" s="6" t="s">
        <v>34</v>
      </c>
      <c r="AB4" s="6" t="s">
        <v>35</v>
      </c>
      <c r="AD4" s="6" t="s">
        <v>36</v>
      </c>
      <c r="AF4" s="5" t="s">
        <v>37</v>
      </c>
      <c r="AH4" s="6" t="s">
        <v>38</v>
      </c>
      <c r="AJ4" s="5" t="s">
        <v>39</v>
      </c>
      <c r="AL4" s="5" t="s">
        <v>40</v>
      </c>
      <c r="AN4" s="5" t="s">
        <v>41</v>
      </c>
      <c r="AP4" s="5" t="s">
        <v>42</v>
      </c>
      <c r="AR4" s="5" t="s">
        <v>43</v>
      </c>
      <c r="AT4" s="5" t="s">
        <v>44</v>
      </c>
      <c r="AV4" s="5" t="s">
        <v>45</v>
      </c>
      <c r="AX4" s="5" t="s">
        <v>46</v>
      </c>
      <c r="AZ4" s="5" t="s">
        <v>47</v>
      </c>
      <c r="BB4" s="20" t="s">
        <v>48</v>
      </c>
    </row>
    <row r="5" spans="1:54" ht="29.1">
      <c r="A5" s="5" t="s">
        <v>49</v>
      </c>
      <c r="B5" s="87">
        <f t="shared" si="3"/>
        <v>3</v>
      </c>
      <c r="C5" s="5" t="str">
        <f>IF('Sensitivity Labels'!C27="","",'Sensitivity Labels'!C27)</f>
        <v>Parent Label</v>
      </c>
      <c r="D5" s="5" t="str">
        <f>IF('Sensitivity Labels'!D27="","",C5&amp;"-"&amp;'Sensitivity Labels'!D27)</f>
        <v>Parent Label-Confidential</v>
      </c>
      <c r="E5" s="5" t="str">
        <f t="shared" si="0"/>
        <v/>
      </c>
      <c r="G5" s="5">
        <f t="shared" ref="G5:G22" si="6">G4+1</f>
        <v>3</v>
      </c>
      <c r="H5" s="464" t="str">
        <f t="shared" si="4"/>
        <v>true</v>
      </c>
      <c r="I5" s="5" t="b">
        <f>'Sensitivity Labels'!F27</f>
        <v>0</v>
      </c>
      <c r="J5" s="5" t="b">
        <f>'Sensitivity Labels'!F29</f>
        <v>0</v>
      </c>
      <c r="K5" s="5" t="b">
        <f>'Sensitivity Labels'!F31</f>
        <v>0</v>
      </c>
      <c r="L5" s="5" t="b">
        <f>'Sensitivity Labels'!F33</f>
        <v>0</v>
      </c>
      <c r="M5" s="465" t="str">
        <f t="shared" si="1"/>
        <v>Parent Label-Confidential</v>
      </c>
      <c r="N5" s="465" t="str">
        <f t="shared" si="5"/>
        <v>Parent Label-Confidential</v>
      </c>
      <c r="O5" s="465" t="str">
        <f t="shared" si="2"/>
        <v>Parent Label-Confidential</v>
      </c>
      <c r="R5" s="539"/>
      <c r="S5" s="5"/>
      <c r="V5" s="5"/>
      <c r="X5" s="6" t="s">
        <v>34</v>
      </c>
      <c r="Z5" s="6" t="s">
        <v>50</v>
      </c>
      <c r="AB5" s="5"/>
      <c r="AD5" s="5"/>
      <c r="AF5" s="5"/>
      <c r="AH5" s="5"/>
      <c r="AJ5" s="5" t="s">
        <v>51</v>
      </c>
      <c r="AL5" s="5"/>
      <c r="AN5" s="5" t="s">
        <v>52</v>
      </c>
      <c r="AP5" s="5" t="s">
        <v>53</v>
      </c>
      <c r="AR5" s="5" t="s">
        <v>54</v>
      </c>
      <c r="AT5" s="5" t="s">
        <v>55</v>
      </c>
      <c r="AV5" s="5" t="s">
        <v>56</v>
      </c>
      <c r="AX5" s="5"/>
      <c r="AZ5" s="5" t="s">
        <v>57</v>
      </c>
      <c r="BB5" s="5"/>
    </row>
    <row r="6" spans="1:54" ht="15.95">
      <c r="A6" s="5" t="s">
        <v>58</v>
      </c>
      <c r="B6" s="87">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464" t="str">
        <f t="shared" si="4"/>
        <v>false</v>
      </c>
      <c r="I6" s="5" t="b">
        <f>'Sensitivity Labels'!F35</f>
        <v>1</v>
      </c>
      <c r="J6" s="5" t="b">
        <f>'Sensitivity Labels'!F37</f>
        <v>1</v>
      </c>
      <c r="K6" s="5" t="b">
        <f>'Sensitivity Labels'!F39</f>
        <v>1</v>
      </c>
      <c r="L6" s="5" t="b">
        <f>'Sensitivity Labels'!F41</f>
        <v>1</v>
      </c>
      <c r="M6" s="465" t="str">
        <f t="shared" si="1"/>
        <v>Sub Label-All Employees</v>
      </c>
      <c r="N6" s="465" t="str">
        <f t="shared" si="5"/>
        <v>Sub Label-All Employees</v>
      </c>
      <c r="O6" s="465" t="str">
        <f t="shared" si="2"/>
        <v>Sub Label-All Employees</v>
      </c>
      <c r="R6" s="539"/>
      <c r="S6" s="5"/>
      <c r="V6" s="5"/>
      <c r="X6" s="6" t="s">
        <v>59</v>
      </c>
      <c r="Z6" s="6" t="s">
        <v>60</v>
      </c>
      <c r="AB6" s="5"/>
      <c r="AD6" s="5"/>
      <c r="AF6" s="5"/>
      <c r="AH6" s="5"/>
      <c r="AJ6" s="5"/>
      <c r="AN6" s="5"/>
      <c r="AP6" s="5" t="s">
        <v>61</v>
      </c>
      <c r="AR6" s="5"/>
      <c r="AT6" s="5"/>
      <c r="AV6" s="5" t="s">
        <v>39</v>
      </c>
      <c r="AZ6" s="5" t="s">
        <v>20</v>
      </c>
    </row>
    <row r="7" spans="1:54" ht="15.95">
      <c r="A7" s="328"/>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464" t="str">
        <f t="shared" si="4"/>
        <v>false</v>
      </c>
      <c r="I7" s="5" t="b">
        <f>'Sensitivity Labels'!F43</f>
        <v>1</v>
      </c>
      <c r="J7" s="5" t="b">
        <f>'Sensitivity Labels'!F45</f>
        <v>1</v>
      </c>
      <c r="K7" s="5" t="b">
        <f>'Sensitivity Labels'!F47</f>
        <v>1</v>
      </c>
      <c r="L7" s="5" t="b">
        <f>'Sensitivity Labels'!F49</f>
        <v>1</v>
      </c>
      <c r="M7" s="465" t="str">
        <f t="shared" si="1"/>
        <v>Sub Label-Specific People</v>
      </c>
      <c r="N7" s="465" t="str">
        <f t="shared" si="5"/>
        <v>Sub Label-Specific People</v>
      </c>
      <c r="O7" s="465" t="str">
        <f t="shared" si="2"/>
        <v>Sub Label-Specific People</v>
      </c>
      <c r="R7" s="539"/>
      <c r="S7" s="5"/>
      <c r="X7" s="6" t="s">
        <v>62</v>
      </c>
      <c r="Z7" s="5"/>
      <c r="AP7" s="5"/>
      <c r="AV7" s="5"/>
      <c r="AZ7" s="5"/>
    </row>
    <row r="8" spans="1:54" ht="32.1">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464" t="str">
        <f t="shared" si="4"/>
        <v>false</v>
      </c>
      <c r="I8" s="5" t="b">
        <f>'Sensitivity Labels'!F51</f>
        <v>1</v>
      </c>
      <c r="J8" s="5" t="b">
        <f>'Sensitivity Labels'!F53</f>
        <v>1</v>
      </c>
      <c r="K8" s="5" t="b">
        <f>'Sensitivity Labels'!F55</f>
        <v>1</v>
      </c>
      <c r="L8" s="5" t="b">
        <f>'Sensitivity Labels'!F57</f>
        <v>1</v>
      </c>
      <c r="M8" s="465" t="str">
        <f t="shared" si="1"/>
        <v>Sub Label-Internal exception</v>
      </c>
      <c r="N8" s="465" t="str">
        <f t="shared" si="5"/>
        <v>Sub Label-Internal exception</v>
      </c>
      <c r="O8" s="465" t="str">
        <f t="shared" si="2"/>
        <v>Sub Label-Internal exception</v>
      </c>
      <c r="R8" s="539"/>
      <c r="X8" s="6" t="s">
        <v>60</v>
      </c>
      <c r="Z8" s="5"/>
      <c r="AH8" s="6" t="s">
        <v>63</v>
      </c>
    </row>
    <row r="9" spans="1:54" ht="48">
      <c r="B9" s="5">
        <f t="shared" si="3"/>
        <v>7</v>
      </c>
      <c r="C9" s="5" t="str">
        <f>IF('Sensitivity Labels'!C59="","",'Sensitivity Labels'!C59)</f>
        <v>Parent Label</v>
      </c>
      <c r="D9" s="5" t="str">
        <f>IF('Sensitivity Labels'!D59="","",C9&amp;"-"&amp;'Sensitivity Labels'!D59)</f>
        <v>Parent Label-Highly Confidential</v>
      </c>
      <c r="E9" s="5" t="str">
        <f t="shared" si="0"/>
        <v/>
      </c>
      <c r="G9" s="5">
        <f t="shared" si="6"/>
        <v>7</v>
      </c>
      <c r="H9" s="464" t="str">
        <f t="shared" si="4"/>
        <v>true</v>
      </c>
      <c r="I9" s="5" t="b">
        <f>'Sensitivity Labels'!F59</f>
        <v>0</v>
      </c>
      <c r="J9" s="5" t="b">
        <f>'Sensitivity Labels'!F61</f>
        <v>0</v>
      </c>
      <c r="K9" s="5" t="b">
        <f>'Sensitivity Labels'!F63</f>
        <v>0</v>
      </c>
      <c r="L9" s="5" t="b">
        <f>'Sensitivity Labels'!F65</f>
        <v>0</v>
      </c>
      <c r="M9" s="465" t="str">
        <f t="shared" si="1"/>
        <v>Parent Label-Highly Confidential</v>
      </c>
      <c r="N9" s="465" t="str">
        <f t="shared" si="5"/>
        <v>Parent Label-Highly Confidential</v>
      </c>
      <c r="O9" s="465" t="str">
        <f t="shared" si="2"/>
        <v>Parent Label-Highly Confidential</v>
      </c>
      <c r="R9" s="539"/>
      <c r="X9" s="5"/>
      <c r="AH9" s="6" t="s">
        <v>64</v>
      </c>
    </row>
    <row r="10" spans="1:54">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464" t="str">
        <f t="shared" si="4"/>
        <v>false</v>
      </c>
      <c r="I10" s="5" t="b">
        <f>'Sensitivity Labels'!F67</f>
        <v>1</v>
      </c>
      <c r="J10" s="5" t="b">
        <f>'Sensitivity Labels'!F69</f>
        <v>1</v>
      </c>
      <c r="K10" s="5" t="b">
        <f>'Sensitivity Labels'!F71</f>
        <v>1</v>
      </c>
      <c r="L10" s="5" t="b">
        <f>'Sensitivity Labels'!F73</f>
        <v>1</v>
      </c>
      <c r="M10" s="465" t="str">
        <f t="shared" si="1"/>
        <v>Sub Label-All Employees</v>
      </c>
      <c r="N10" s="465" t="str">
        <f t="shared" si="5"/>
        <v>Sub Label-All Employees</v>
      </c>
      <c r="O10" s="465" t="str">
        <f t="shared" si="2"/>
        <v>Sub Label-All Employees</v>
      </c>
      <c r="R10" s="539"/>
      <c r="X10" s="5"/>
      <c r="AH10" s="5"/>
    </row>
    <row r="11" spans="1:54">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464" t="str">
        <f t="shared" si="4"/>
        <v>false</v>
      </c>
      <c r="I11" s="5" t="b">
        <f>'Sensitivity Labels'!F75</f>
        <v>1</v>
      </c>
      <c r="J11" s="5" t="b">
        <f>'Sensitivity Labels'!F77</f>
        <v>1</v>
      </c>
      <c r="K11" s="5" t="b">
        <f>'Sensitivity Labels'!F79</f>
        <v>1</v>
      </c>
      <c r="L11" s="5" t="b">
        <f>'Sensitivity Labels'!F81</f>
        <v>1</v>
      </c>
      <c r="M11" s="465" t="str">
        <f t="shared" si="1"/>
        <v>Sub Label-Specific People</v>
      </c>
      <c r="N11" s="465" t="str">
        <f t="shared" si="5"/>
        <v>Sub Label-Specific People</v>
      </c>
      <c r="O11" s="465" t="str">
        <f t="shared" si="2"/>
        <v>Sub Label-Specific People</v>
      </c>
      <c r="R11" s="539"/>
      <c r="S11" s="4" t="s">
        <v>65</v>
      </c>
      <c r="AH11" s="5"/>
    </row>
    <row r="12" spans="1:54">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464" t="str">
        <f t="shared" si="4"/>
        <v>false</v>
      </c>
      <c r="I12" s="5" t="b">
        <f>'Sensitivity Labels'!F83</f>
        <v>1</v>
      </c>
      <c r="J12" s="5" t="b">
        <f>'Sensitivity Labels'!F85</f>
        <v>1</v>
      </c>
      <c r="K12" s="5" t="b">
        <f>'Sensitivity Labels'!F87</f>
        <v>1</v>
      </c>
      <c r="L12" s="5" t="b">
        <f>'Sensitivity Labels'!F89</f>
        <v>1</v>
      </c>
      <c r="M12" s="465" t="str">
        <f t="shared" si="1"/>
        <v>Sub Label-Internal exception</v>
      </c>
      <c r="N12" s="465" t="str">
        <f t="shared" si="5"/>
        <v>Sub Label-Internal exception</v>
      </c>
      <c r="O12" s="465" t="str">
        <f t="shared" si="2"/>
        <v>Sub Label-Internal exception</v>
      </c>
      <c r="R12" s="539"/>
      <c r="S12" s="3" t="s">
        <v>66</v>
      </c>
      <c r="AH12" s="5"/>
    </row>
    <row r="13" spans="1:54">
      <c r="B13" s="5">
        <f t="shared" si="3"/>
        <v>11</v>
      </c>
      <c r="C13" s="5" t="str">
        <f>IF('Sensitivity Labels'!C91="","",'Sensitivity Labels'!C91)</f>
        <v/>
      </c>
      <c r="D13" s="5" t="str">
        <f>IF('Sensitivity Labels'!D91="","",C13&amp;"-"&amp;'Sensitivity Labels'!D91)</f>
        <v/>
      </c>
      <c r="E13" s="5" t="str">
        <f t="shared" si="0"/>
        <v/>
      </c>
      <c r="G13" s="5">
        <f t="shared" si="6"/>
        <v>11</v>
      </c>
      <c r="H13" s="464" t="str">
        <f t="shared" si="4"/>
        <v>false</v>
      </c>
      <c r="I13" s="5" t="b">
        <f>'Sensitivity Labels'!F91</f>
        <v>0</v>
      </c>
      <c r="J13" s="5" t="b">
        <f>'Sensitivity Labels'!F93</f>
        <v>0</v>
      </c>
      <c r="K13" s="5" t="b">
        <f>'Sensitivity Labels'!F95</f>
        <v>0</v>
      </c>
      <c r="L13" s="5" t="b">
        <f>'Sensitivity Labels'!F97</f>
        <v>0</v>
      </c>
      <c r="M13" s="465" t="str">
        <f t="shared" si="1"/>
        <v>Please fill out Sensitivity Labels Tab</v>
      </c>
      <c r="N13" s="465" t="str">
        <f t="shared" si="5"/>
        <v>Please fill out Sensitivity Labels Tab</v>
      </c>
      <c r="O13" s="465" t="str">
        <f t="shared" si="2"/>
        <v>Please fill out Sensitivity Labels Tab</v>
      </c>
      <c r="R13" s="539"/>
      <c r="S13" s="3" t="s">
        <v>67</v>
      </c>
    </row>
    <row r="14" spans="1:54">
      <c r="B14" s="5">
        <f t="shared" si="3"/>
        <v>12</v>
      </c>
      <c r="C14" s="5" t="str">
        <f>IF('Sensitivity Labels'!C99="","",'Sensitivity Labels'!C99)</f>
        <v/>
      </c>
      <c r="D14" s="5" t="str">
        <f>IF('Sensitivity Labels'!D99="","",C14&amp;"-"&amp;'Sensitivity Labels'!D99)</f>
        <v/>
      </c>
      <c r="E14" s="5" t="str">
        <f t="shared" si="0"/>
        <v/>
      </c>
      <c r="G14" s="5">
        <f t="shared" si="6"/>
        <v>12</v>
      </c>
      <c r="H14" s="464" t="str">
        <f t="shared" si="4"/>
        <v>false</v>
      </c>
      <c r="I14" s="5" t="b">
        <f>'Sensitivity Labels'!F99</f>
        <v>0</v>
      </c>
      <c r="J14" s="5" t="b">
        <f>'Sensitivity Labels'!F101</f>
        <v>0</v>
      </c>
      <c r="K14" s="5" t="b">
        <f>'Sensitivity Labels'!F103</f>
        <v>0</v>
      </c>
      <c r="L14" s="5" t="b">
        <f>'Sensitivity Labels'!F105</f>
        <v>0</v>
      </c>
      <c r="M14" s="465" t="str">
        <f t="shared" si="1"/>
        <v>Please fill out Sensitivity Labels Tab</v>
      </c>
      <c r="N14" s="465" t="str">
        <f t="shared" si="5"/>
        <v>Please fill out Sensitivity Labels Tab</v>
      </c>
      <c r="O14" s="465" t="str">
        <f t="shared" si="2"/>
        <v>Please fill out Sensitivity Labels Tab</v>
      </c>
      <c r="R14" s="539"/>
      <c r="S14" s="3" t="s">
        <v>68</v>
      </c>
    </row>
    <row r="15" spans="1:54">
      <c r="B15" s="5">
        <f t="shared" si="3"/>
        <v>13</v>
      </c>
      <c r="C15" s="5" t="str">
        <f>IF('Sensitivity Labels'!C107="","",'Sensitivity Labels'!C107)</f>
        <v/>
      </c>
      <c r="D15" s="5" t="str">
        <f>IF('Sensitivity Labels'!D107="","",C15&amp;"-"&amp;'Sensitivity Labels'!D107)</f>
        <v/>
      </c>
      <c r="E15" s="5" t="str">
        <f t="shared" si="0"/>
        <v/>
      </c>
      <c r="G15" s="5">
        <f t="shared" si="6"/>
        <v>13</v>
      </c>
      <c r="H15" s="464" t="str">
        <f t="shared" si="4"/>
        <v>false</v>
      </c>
      <c r="I15" s="5" t="b">
        <f>'Sensitivity Labels'!F107</f>
        <v>0</v>
      </c>
      <c r="J15" s="5" t="b">
        <f>'Sensitivity Labels'!F109</f>
        <v>0</v>
      </c>
      <c r="K15" s="5" t="b">
        <f>'Sensitivity Labels'!F111</f>
        <v>0</v>
      </c>
      <c r="L15" s="5" t="b">
        <f>'Sensitivity Labels'!F113</f>
        <v>0</v>
      </c>
      <c r="M15" s="465" t="str">
        <f t="shared" si="1"/>
        <v>Please fill out Sensitivity Labels Tab</v>
      </c>
      <c r="N15" s="465" t="str">
        <f t="shared" si="5"/>
        <v>Please fill out Sensitivity Labels Tab</v>
      </c>
      <c r="O15" s="465" t="str">
        <f t="shared" si="2"/>
        <v>Please fill out Sensitivity Labels Tab</v>
      </c>
      <c r="R15" s="539"/>
      <c r="S15" s="3" t="s">
        <v>69</v>
      </c>
    </row>
    <row r="16" spans="1:54">
      <c r="B16" s="5">
        <f t="shared" si="3"/>
        <v>14</v>
      </c>
      <c r="C16" s="5" t="str">
        <f>IF('Sensitivity Labels'!C115="","",'Sensitivity Labels'!C115)</f>
        <v/>
      </c>
      <c r="D16" s="5" t="str">
        <f>IF('Sensitivity Labels'!D115="","",C16&amp;"-"&amp;'Sensitivity Labels'!D115)</f>
        <v/>
      </c>
      <c r="E16" s="5" t="str">
        <f t="shared" si="0"/>
        <v/>
      </c>
      <c r="G16" s="5">
        <f t="shared" si="6"/>
        <v>14</v>
      </c>
      <c r="H16" s="464" t="str">
        <f t="shared" si="4"/>
        <v>false</v>
      </c>
      <c r="I16" s="5" t="b">
        <f>'Sensitivity Labels'!F115</f>
        <v>0</v>
      </c>
      <c r="J16" s="5" t="b">
        <f>'Sensitivity Labels'!F117</f>
        <v>0</v>
      </c>
      <c r="K16" s="5" t="b">
        <f>'Sensitivity Labels'!F119</f>
        <v>0</v>
      </c>
      <c r="L16" s="5" t="b">
        <f>'Sensitivity Labels'!F121</f>
        <v>0</v>
      </c>
      <c r="M16" s="465" t="str">
        <f t="shared" si="1"/>
        <v>Please fill out Sensitivity Labels Tab</v>
      </c>
      <c r="N16" s="465" t="str">
        <f t="shared" si="5"/>
        <v>Please fill out Sensitivity Labels Tab</v>
      </c>
      <c r="O16" s="465" t="str">
        <f t="shared" si="2"/>
        <v>Please fill out Sensitivity Labels Tab</v>
      </c>
      <c r="R16" s="539"/>
      <c r="S16" s="3" t="s">
        <v>70</v>
      </c>
    </row>
    <row r="17" spans="2:19">
      <c r="B17" s="5">
        <f t="shared" si="3"/>
        <v>15</v>
      </c>
      <c r="C17" s="5" t="str">
        <f>IF('Sensitivity Labels'!C123="","",'Sensitivity Labels'!C123)</f>
        <v/>
      </c>
      <c r="D17" s="5" t="str">
        <f>IF('Sensitivity Labels'!D123="","",C17&amp;"-"&amp;'Sensitivity Labels'!D123)</f>
        <v/>
      </c>
      <c r="E17" s="5" t="str">
        <f t="shared" si="0"/>
        <v/>
      </c>
      <c r="G17" s="5">
        <f t="shared" si="6"/>
        <v>15</v>
      </c>
      <c r="H17" s="464" t="str">
        <f t="shared" si="4"/>
        <v>false</v>
      </c>
      <c r="I17" s="5" t="b">
        <f>'Sensitivity Labels'!F123</f>
        <v>0</v>
      </c>
      <c r="J17" s="5" t="b">
        <f>'Sensitivity Labels'!F125</f>
        <v>0</v>
      </c>
      <c r="K17" s="5" t="b">
        <f>'Sensitivity Labels'!F127</f>
        <v>0</v>
      </c>
      <c r="L17" s="5" t="b">
        <f>'Sensitivity Labels'!F129</f>
        <v>0</v>
      </c>
      <c r="M17" s="465" t="str">
        <f t="shared" si="1"/>
        <v>Please fill out Sensitivity Labels Tab</v>
      </c>
      <c r="N17" s="465" t="str">
        <f t="shared" si="5"/>
        <v>Please fill out Sensitivity Labels Tab</v>
      </c>
      <c r="O17" s="465" t="str">
        <f t="shared" si="2"/>
        <v>Please fill out Sensitivity Labels Tab</v>
      </c>
      <c r="R17" s="539"/>
      <c r="S17" s="3" t="s">
        <v>71</v>
      </c>
    </row>
    <row r="18" spans="2:19">
      <c r="B18" s="5">
        <f t="shared" si="3"/>
        <v>16</v>
      </c>
      <c r="C18" s="5" t="str">
        <f>IF('Sensitivity Labels'!C131="","",'Sensitivity Labels'!C131)</f>
        <v/>
      </c>
      <c r="D18" s="5" t="str">
        <f>IF('Sensitivity Labels'!D131="","",C18&amp;"-"&amp;'Sensitivity Labels'!D131)</f>
        <v/>
      </c>
      <c r="E18" s="5" t="str">
        <f t="shared" si="0"/>
        <v/>
      </c>
      <c r="G18" s="5">
        <f t="shared" si="6"/>
        <v>16</v>
      </c>
      <c r="H18" s="464" t="str">
        <f t="shared" si="4"/>
        <v>false</v>
      </c>
      <c r="I18" s="5" t="b">
        <f>'Sensitivity Labels'!F131</f>
        <v>0</v>
      </c>
      <c r="J18" s="5" t="b">
        <f>'Sensitivity Labels'!F133</f>
        <v>0</v>
      </c>
      <c r="K18" s="5" t="b">
        <f>'Sensitivity Labels'!F135</f>
        <v>0</v>
      </c>
      <c r="L18" s="5" t="b">
        <f>'Sensitivity Labels'!F137</f>
        <v>0</v>
      </c>
      <c r="M18" s="465" t="str">
        <f t="shared" si="1"/>
        <v>Please fill out Sensitivity Labels Tab</v>
      </c>
      <c r="N18" s="465" t="str">
        <f t="shared" si="5"/>
        <v>Please fill out Sensitivity Labels Tab</v>
      </c>
      <c r="O18" s="465" t="str">
        <f t="shared" si="2"/>
        <v>Please fill out Sensitivity Labels Tab</v>
      </c>
      <c r="R18" s="539"/>
      <c r="S18" s="3" t="s">
        <v>72</v>
      </c>
    </row>
    <row r="19" spans="2:19">
      <c r="B19" s="5">
        <f t="shared" si="3"/>
        <v>17</v>
      </c>
      <c r="C19" s="5" t="str">
        <f>IF('Sensitivity Labels'!C139="","",'Sensitivity Labels'!C139)</f>
        <v/>
      </c>
      <c r="D19" s="5" t="str">
        <f>IF('Sensitivity Labels'!D139="","",C19&amp;"-"&amp;'Sensitivity Labels'!D139)</f>
        <v/>
      </c>
      <c r="E19" s="5" t="str">
        <f t="shared" si="0"/>
        <v/>
      </c>
      <c r="G19" s="5">
        <f t="shared" si="6"/>
        <v>17</v>
      </c>
      <c r="H19" s="464" t="str">
        <f t="shared" si="4"/>
        <v>false</v>
      </c>
      <c r="I19" s="5" t="b">
        <f>'Sensitivity Labels'!F139</f>
        <v>0</v>
      </c>
      <c r="J19" s="5" t="b">
        <f>'Sensitivity Labels'!F141</f>
        <v>0</v>
      </c>
      <c r="K19" s="5" t="b">
        <f>'Sensitivity Labels'!F143</f>
        <v>0</v>
      </c>
      <c r="L19" s="5" t="b">
        <f>'Sensitivity Labels'!F145</f>
        <v>0</v>
      </c>
      <c r="M19" s="465" t="str">
        <f t="shared" si="1"/>
        <v>Please fill out Sensitivity Labels Tab</v>
      </c>
      <c r="N19" s="465" t="str">
        <f t="shared" si="5"/>
        <v>Please fill out Sensitivity Labels Tab</v>
      </c>
      <c r="O19" s="465" t="str">
        <f t="shared" si="2"/>
        <v>Please fill out Sensitivity Labels Tab</v>
      </c>
      <c r="R19" s="539"/>
      <c r="S19" s="3" t="s">
        <v>73</v>
      </c>
    </row>
    <row r="20" spans="2:19">
      <c r="B20" s="5">
        <f t="shared" si="3"/>
        <v>18</v>
      </c>
      <c r="C20" s="5" t="str">
        <f>IF('Sensitivity Labels'!C147="","",'Sensitivity Labels'!C147)</f>
        <v/>
      </c>
      <c r="D20" s="5" t="str">
        <f>IF('Sensitivity Labels'!D147="","",C20&amp;"-"&amp;'Sensitivity Labels'!D147)</f>
        <v/>
      </c>
      <c r="E20" s="5" t="str">
        <f t="shared" si="0"/>
        <v/>
      </c>
      <c r="G20" s="5">
        <f t="shared" si="6"/>
        <v>18</v>
      </c>
      <c r="H20" s="464" t="str">
        <f t="shared" si="4"/>
        <v>false</v>
      </c>
      <c r="I20" s="5" t="b">
        <f>'Sensitivity Labels'!F147</f>
        <v>0</v>
      </c>
      <c r="J20" s="5" t="b">
        <f>'Sensitivity Labels'!F149</f>
        <v>0</v>
      </c>
      <c r="K20" s="5" t="b">
        <f>'Sensitivity Labels'!F151</f>
        <v>0</v>
      </c>
      <c r="L20" s="5" t="b">
        <f>'Sensitivity Labels'!F153</f>
        <v>0</v>
      </c>
      <c r="M20" s="465" t="str">
        <f t="shared" si="1"/>
        <v>Please fill out Sensitivity Labels Tab</v>
      </c>
      <c r="N20" s="465" t="str">
        <f t="shared" si="5"/>
        <v>Please fill out Sensitivity Labels Tab</v>
      </c>
      <c r="O20" s="465" t="str">
        <f t="shared" si="2"/>
        <v>Please fill out Sensitivity Labels Tab</v>
      </c>
      <c r="R20" s="539"/>
      <c r="S20" s="3" t="s">
        <v>74</v>
      </c>
    </row>
    <row r="21" spans="2:19">
      <c r="B21" s="5">
        <f t="shared" si="3"/>
        <v>19</v>
      </c>
      <c r="C21" s="5" t="str">
        <f>IF('Sensitivity Labels'!C155="","",'Sensitivity Labels'!C155)</f>
        <v/>
      </c>
      <c r="D21" s="5" t="str">
        <f>IF('Sensitivity Labels'!D155="","",C21&amp;"-"&amp;'Sensitivity Labels'!D155)</f>
        <v/>
      </c>
      <c r="E21" s="5" t="str">
        <f t="shared" si="0"/>
        <v/>
      </c>
      <c r="G21" s="5">
        <f t="shared" si="6"/>
        <v>19</v>
      </c>
      <c r="H21" s="464" t="str">
        <f t="shared" si="4"/>
        <v>false</v>
      </c>
      <c r="I21" s="5" t="b">
        <f>'Sensitivity Labels'!F155</f>
        <v>0</v>
      </c>
      <c r="J21" s="5" t="b">
        <f>'Sensitivity Labels'!F157</f>
        <v>0</v>
      </c>
      <c r="K21" s="5" t="b">
        <f>'Sensitivity Labels'!F159</f>
        <v>0</v>
      </c>
      <c r="L21" s="5" t="b">
        <f>'Sensitivity Labels'!F161</f>
        <v>0</v>
      </c>
      <c r="M21" s="465" t="str">
        <f t="shared" si="1"/>
        <v>Please fill out Sensitivity Labels Tab</v>
      </c>
      <c r="N21" s="465" t="str">
        <f t="shared" si="5"/>
        <v>Please fill out Sensitivity Labels Tab</v>
      </c>
      <c r="O21" s="465" t="str">
        <f t="shared" si="2"/>
        <v>Please fill out Sensitivity Labels Tab</v>
      </c>
      <c r="R21" s="539"/>
      <c r="S21" s="3" t="s">
        <v>75</v>
      </c>
    </row>
    <row r="22" spans="2:19">
      <c r="B22" s="5">
        <f t="shared" si="3"/>
        <v>20</v>
      </c>
      <c r="C22" s="5" t="str">
        <f>IF('Sensitivity Labels'!C163="","",'Sensitivity Labels'!C163)</f>
        <v/>
      </c>
      <c r="D22" s="5" t="str">
        <f>IF('Sensitivity Labels'!D163="","",C22&amp;"-"&amp;'Sensitivity Labels'!D163)</f>
        <v/>
      </c>
      <c r="E22" s="5" t="str">
        <f t="shared" si="0"/>
        <v/>
      </c>
      <c r="G22" s="5">
        <f t="shared" si="6"/>
        <v>20</v>
      </c>
      <c r="H22" s="464" t="str">
        <f t="shared" si="4"/>
        <v>false</v>
      </c>
      <c r="I22" s="5" t="b">
        <f>'Sensitivity Labels'!F163</f>
        <v>0</v>
      </c>
      <c r="J22" s="5" t="b">
        <f>'Sensitivity Labels'!F165</f>
        <v>0</v>
      </c>
      <c r="K22" s="5" t="b">
        <f>'Sensitivity Labels'!F167</f>
        <v>0</v>
      </c>
      <c r="L22" s="5" t="b">
        <f>'Sensitivity Labels'!F169</f>
        <v>0</v>
      </c>
      <c r="M22" s="465" t="str">
        <f t="shared" si="1"/>
        <v>Please fill out Sensitivity Labels Tab</v>
      </c>
      <c r="N22" s="465" t="str">
        <f t="shared" si="5"/>
        <v>Please fill out Sensitivity Labels Tab</v>
      </c>
      <c r="O22" s="465" t="str">
        <f t="shared" si="2"/>
        <v>Please fill out Sensitivity Labels Tab</v>
      </c>
      <c r="R22" s="539"/>
    </row>
    <row r="23" spans="2:19">
      <c r="E23" s="156" t="s">
        <v>76</v>
      </c>
      <c r="M23" s="462" t="s">
        <v>5</v>
      </c>
      <c r="N23" s="462" t="s">
        <v>6</v>
      </c>
      <c r="O23" s="462" t="s">
        <v>7</v>
      </c>
      <c r="R23" s="539"/>
    </row>
    <row r="24" spans="2:19" ht="29.1">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473"/>
    </row>
    <row r="25" spans="2:19">
      <c r="E25" s="5" t="str">
        <v>Label-General</v>
      </c>
      <c r="M25" s="5" t="str">
        <v>Label-General</v>
      </c>
      <c r="N25" s="5" t="str">
        <v>Label-General</v>
      </c>
      <c r="O25" s="5" t="str">
        <v>Label-General</v>
      </c>
      <c r="R25" s="3">
        <v>1</v>
      </c>
    </row>
    <row r="26" spans="2:19">
      <c r="E26" s="5" t="str">
        <v>Sub Label-All Employees</v>
      </c>
      <c r="M26" s="5" t="str">
        <v>Parent Label-Confidential</v>
      </c>
      <c r="N26" s="5" t="str">
        <v>Parent Label-Confidential</v>
      </c>
      <c r="O26" s="5" t="str">
        <v>Parent Label-Confidential</v>
      </c>
      <c r="R26" s="3">
        <f>R25+1</f>
        <v>2</v>
      </c>
    </row>
    <row r="27" spans="2:19">
      <c r="E27" s="5" t="str">
        <v>Sub Label-Specific People</v>
      </c>
      <c r="M27" s="5" t="str">
        <v>Sub Label-All Employees</v>
      </c>
      <c r="N27" s="5" t="str">
        <v>Sub Label-All Employees</v>
      </c>
      <c r="O27" s="5" t="str">
        <v>Sub Label-All Employees</v>
      </c>
      <c r="R27" s="3">
        <f t="shared" ref="R27:R44" si="7">R26+1</f>
        <v>3</v>
      </c>
    </row>
    <row r="28" spans="2:19">
      <c r="C28"/>
      <c r="D28"/>
      <c r="E28" s="9" t="str">
        <v>Sub Label-Internal exception</v>
      </c>
      <c r="F28"/>
      <c r="M28" s="9" t="str">
        <v>Sub Label-Specific People</v>
      </c>
      <c r="N28" s="9" t="str">
        <v>Sub Label-Specific People</v>
      </c>
      <c r="O28" s="9" t="str">
        <v>Sub Label-Specific People</v>
      </c>
      <c r="R28" s="3">
        <f t="shared" si="7"/>
        <v>4</v>
      </c>
    </row>
    <row r="29" spans="2:19">
      <c r="C29"/>
      <c r="D29"/>
      <c r="E29" s="9" t="str">
        <v>Sub Label-All Employees</v>
      </c>
      <c r="F29"/>
      <c r="M29" s="9" t="str">
        <v>Sub Label-Internal exception</v>
      </c>
      <c r="N29" s="9" t="str">
        <v>Sub Label-Internal exception</v>
      </c>
      <c r="O29" s="9" t="str">
        <v>Sub Label-Internal exception</v>
      </c>
      <c r="R29" s="3">
        <f t="shared" si="7"/>
        <v>5</v>
      </c>
    </row>
    <row r="30" spans="2:19">
      <c r="C30"/>
      <c r="D30"/>
      <c r="E30" s="9" t="str">
        <v>Sub Label-Specific People</v>
      </c>
      <c r="F30"/>
      <c r="M30" s="9" t="str">
        <v>Parent Label-Highly Confidential</v>
      </c>
      <c r="N30" s="9" t="str">
        <v>Parent Label-Highly Confidential</v>
      </c>
      <c r="O30" s="9" t="str">
        <v>Parent Label-Highly Confidential</v>
      </c>
      <c r="R30" s="3">
        <f t="shared" si="7"/>
        <v>6</v>
      </c>
    </row>
    <row r="31" spans="2:19">
      <c r="C31"/>
      <c r="D31"/>
      <c r="E31" s="9" t="str">
        <v>Sub Label-Internal exception</v>
      </c>
      <c r="F31"/>
      <c r="M31" s="9" t="str">
        <v>Sub Label-All Employees</v>
      </c>
      <c r="N31" s="9" t="str">
        <v>Sub Label-All Employees</v>
      </c>
      <c r="O31" s="9" t="str">
        <v>Sub Label-All Employees</v>
      </c>
      <c r="R31" s="3">
        <f t="shared" si="7"/>
        <v>7</v>
      </c>
    </row>
    <row r="32" spans="2:19">
      <c r="E32" s="5"/>
      <c r="M32" s="5" t="str">
        <v>Sub Label-Specific People</v>
      </c>
      <c r="N32" s="5" t="str">
        <v>Sub Label-Specific People</v>
      </c>
      <c r="O32" s="5" t="str">
        <v>Sub Label-Specific People</v>
      </c>
      <c r="R32" s="3">
        <f t="shared" si="7"/>
        <v>8</v>
      </c>
    </row>
    <row r="33" spans="3:18">
      <c r="E33" s="5"/>
      <c r="M33" s="5" t="str">
        <v>Sub Label-Internal exception</v>
      </c>
      <c r="N33" s="5" t="str">
        <v>Sub Label-Internal exception</v>
      </c>
      <c r="O33" s="5" t="str">
        <v>Sub Label-Internal exception</v>
      </c>
      <c r="R33" s="3">
        <f t="shared" si="7"/>
        <v>9</v>
      </c>
    </row>
    <row r="34" spans="3:18">
      <c r="E34" s="5"/>
      <c r="M34" s="5" t="str">
        <v>Please fill out Sensitivity Labels Tab</v>
      </c>
      <c r="N34" s="5" t="str">
        <v>Please fill out Sensitivity Labels Tab</v>
      </c>
      <c r="O34" s="5" t="str">
        <v>Please fill out Sensitivity Labels Tab</v>
      </c>
      <c r="R34" s="3">
        <f t="shared" si="7"/>
        <v>10</v>
      </c>
    </row>
    <row r="35" spans="3:18">
      <c r="E35" s="5"/>
      <c r="M35" s="5" t="str">
        <v>Please fill out Sensitivity Labels Tab</v>
      </c>
      <c r="N35" s="5" t="str">
        <v>Please fill out Sensitivity Labels Tab</v>
      </c>
      <c r="O35" s="5" t="str">
        <v>Please fill out Sensitivity Labels Tab</v>
      </c>
      <c r="R35" s="3">
        <f t="shared" si="7"/>
        <v>11</v>
      </c>
    </row>
    <row r="36" spans="3:18">
      <c r="E36" s="5"/>
      <c r="M36" s="5" t="str">
        <v>Please fill out Sensitivity Labels Tab</v>
      </c>
      <c r="N36" s="5" t="str">
        <v>Please fill out Sensitivity Labels Tab</v>
      </c>
      <c r="O36" s="5" t="str">
        <v>Please fill out Sensitivity Labels Tab</v>
      </c>
      <c r="R36" s="3">
        <f t="shared" si="7"/>
        <v>12</v>
      </c>
    </row>
    <row r="37" spans="3:18">
      <c r="E37" s="5"/>
      <c r="M37" s="5" t="str">
        <v>Please fill out Sensitivity Labels Tab</v>
      </c>
      <c r="N37" s="5" t="str">
        <v>Please fill out Sensitivity Labels Tab</v>
      </c>
      <c r="O37" s="5" t="str">
        <v>Please fill out Sensitivity Labels Tab</v>
      </c>
      <c r="R37" s="3">
        <f t="shared" si="7"/>
        <v>13</v>
      </c>
    </row>
    <row r="38" spans="3:18">
      <c r="E38" s="5"/>
      <c r="M38" s="5" t="str">
        <v>Please fill out Sensitivity Labels Tab</v>
      </c>
      <c r="N38" s="5" t="str">
        <v>Please fill out Sensitivity Labels Tab</v>
      </c>
      <c r="O38" s="5" t="str">
        <v>Please fill out Sensitivity Labels Tab</v>
      </c>
      <c r="R38" s="3">
        <f t="shared" si="7"/>
        <v>14</v>
      </c>
    </row>
    <row r="39" spans="3:18">
      <c r="E39" s="5"/>
      <c r="M39" s="5" t="str">
        <v>Please fill out Sensitivity Labels Tab</v>
      </c>
      <c r="N39" s="5" t="str">
        <v>Please fill out Sensitivity Labels Tab</v>
      </c>
      <c r="O39" s="5" t="str">
        <v>Please fill out Sensitivity Labels Tab</v>
      </c>
      <c r="R39" s="3">
        <f t="shared" si="7"/>
        <v>15</v>
      </c>
    </row>
    <row r="40" spans="3:18">
      <c r="E40" s="5"/>
      <c r="M40" s="5" t="str">
        <v>Please fill out Sensitivity Labels Tab</v>
      </c>
      <c r="N40" s="5" t="str">
        <v>Please fill out Sensitivity Labels Tab</v>
      </c>
      <c r="O40" s="5" t="str">
        <v>Please fill out Sensitivity Labels Tab</v>
      </c>
      <c r="R40" s="3">
        <f t="shared" si="7"/>
        <v>16</v>
      </c>
    </row>
    <row r="41" spans="3:18">
      <c r="E41" s="5"/>
      <c r="M41" s="5" t="str">
        <v>Please fill out Sensitivity Labels Tab</v>
      </c>
      <c r="N41" s="5" t="str">
        <v>Please fill out Sensitivity Labels Tab</v>
      </c>
      <c r="O41" s="5" t="str">
        <v>Please fill out Sensitivity Labels Tab</v>
      </c>
      <c r="R41" s="3">
        <f t="shared" si="7"/>
        <v>17</v>
      </c>
    </row>
    <row r="42" spans="3:18">
      <c r="E42" s="5"/>
      <c r="M42" s="5" t="str">
        <v>Please fill out Sensitivity Labels Tab</v>
      </c>
      <c r="N42" s="5" t="str">
        <v>Please fill out Sensitivity Labels Tab</v>
      </c>
      <c r="O42" s="5" t="str">
        <v>Please fill out Sensitivity Labels Tab</v>
      </c>
      <c r="R42" s="3">
        <f t="shared" si="7"/>
        <v>18</v>
      </c>
    </row>
    <row r="43" spans="3:18">
      <c r="E43" s="5"/>
      <c r="M43" s="5" t="str">
        <v>Please fill out Sensitivity Labels Tab</v>
      </c>
      <c r="N43" s="5" t="str">
        <v>Please fill out Sensitivity Labels Tab</v>
      </c>
      <c r="O43" s="5" t="str">
        <v>Please fill out Sensitivity Labels Tab</v>
      </c>
      <c r="R43" s="3">
        <f t="shared" si="7"/>
        <v>19</v>
      </c>
    </row>
    <row r="44" spans="3:18">
      <c r="C44" s="4"/>
      <c r="D44" s="4"/>
      <c r="E44" s="155"/>
      <c r="F44" s="4"/>
      <c r="G44" s="4"/>
      <c r="H44" s="4"/>
      <c r="M44" s="155"/>
      <c r="N44" s="155"/>
      <c r="O44" s="155"/>
      <c r="R44" s="3">
        <f t="shared" si="7"/>
        <v>20</v>
      </c>
    </row>
    <row r="45" spans="3:18">
      <c r="R45" s="473"/>
    </row>
    <row r="46" spans="3:18">
      <c r="R46" s="473"/>
    </row>
    <row r="47" spans="3:18">
      <c r="R47" s="473"/>
    </row>
    <row r="48" spans="3:18">
      <c r="R48" s="473"/>
    </row>
    <row r="49" spans="1:52">
      <c r="R49" s="473"/>
    </row>
    <row r="50" spans="1:52">
      <c r="R50" s="473"/>
    </row>
    <row r="51" spans="1:52">
      <c r="R51" s="473"/>
    </row>
    <row r="52" spans="1:52">
      <c r="R52" s="473"/>
    </row>
    <row r="53" spans="1:52">
      <c r="A53"/>
      <c r="B53"/>
      <c r="C53"/>
      <c r="D53"/>
      <c r="E53"/>
      <c r="F53"/>
      <c r="G53"/>
      <c r="H53"/>
      <c r="I53"/>
      <c r="J53"/>
      <c r="K53"/>
      <c r="L53"/>
      <c r="M53"/>
      <c r="N53"/>
      <c r="R53" s="473"/>
    </row>
    <row r="54" spans="1:52" s="12" customFormat="1">
      <c r="A54"/>
      <c r="B54"/>
      <c r="C54"/>
      <c r="D54"/>
      <c r="E54"/>
      <c r="F54"/>
      <c r="G54"/>
      <c r="H54"/>
      <c r="I54"/>
      <c r="J54"/>
      <c r="K54"/>
      <c r="L54"/>
      <c r="M54"/>
      <c r="N54"/>
      <c r="O54" s="474"/>
      <c r="P54" s="474"/>
      <c r="Q54" s="474"/>
      <c r="R54" s="473"/>
      <c r="S54" s="474"/>
      <c r="T54" s="474"/>
      <c r="U54" s="474"/>
      <c r="V54" s="474"/>
      <c r="W54" s="474"/>
      <c r="X54" s="474"/>
      <c r="Y54" s="474"/>
      <c r="Z54" s="474"/>
      <c r="AA54" s="474"/>
      <c r="AB54" s="474"/>
      <c r="AC54" s="474"/>
      <c r="AD54" s="474"/>
      <c r="AE54" s="474"/>
      <c r="AF54" s="474"/>
      <c r="AG54" s="474"/>
      <c r="AH54" s="474"/>
      <c r="AI54" s="474"/>
      <c r="AJ54" s="474"/>
      <c r="AK54" s="474"/>
      <c r="AL54" s="474"/>
      <c r="AM54" s="474"/>
      <c r="AN54" s="474"/>
      <c r="AO54" s="474"/>
      <c r="AP54" s="474"/>
      <c r="AQ54" s="474"/>
      <c r="AR54" s="474"/>
      <c r="AS54" s="474"/>
      <c r="AT54" s="474"/>
      <c r="AU54" s="474"/>
      <c r="AV54" s="474"/>
      <c r="AW54" s="474"/>
      <c r="AX54" s="474"/>
      <c r="AY54" s="474"/>
      <c r="AZ54" s="3"/>
    </row>
    <row r="55" spans="1:52">
      <c r="A55"/>
      <c r="B55"/>
      <c r="C55"/>
      <c r="D55"/>
      <c r="E55"/>
      <c r="F55"/>
      <c r="G55"/>
      <c r="H55"/>
      <c r="I55"/>
      <c r="J55"/>
      <c r="K55"/>
      <c r="L55"/>
      <c r="M55"/>
      <c r="N55"/>
      <c r="R55" s="473"/>
    </row>
    <row r="56" spans="1:52">
      <c r="A56"/>
      <c r="B56"/>
      <c r="C56"/>
      <c r="D56"/>
      <c r="E56"/>
      <c r="F56"/>
      <c r="G56"/>
      <c r="H56"/>
      <c r="I56"/>
      <c r="J56"/>
      <c r="K56"/>
      <c r="L56"/>
      <c r="M56"/>
      <c r="N56"/>
      <c r="R56" s="473"/>
      <c r="AZ56" s="474"/>
    </row>
    <row r="57" spans="1:52">
      <c r="A57"/>
      <c r="B57"/>
      <c r="C57"/>
      <c r="D57"/>
      <c r="E57"/>
      <c r="F57"/>
      <c r="G57"/>
      <c r="H57"/>
      <c r="I57"/>
      <c r="J57"/>
      <c r="K57"/>
      <c r="L57"/>
      <c r="M57"/>
      <c r="N57"/>
      <c r="R57" s="473"/>
    </row>
    <row r="58" spans="1:52">
      <c r="A58"/>
      <c r="B58"/>
      <c r="C58"/>
      <c r="D58"/>
      <c r="E58"/>
      <c r="F58"/>
      <c r="G58"/>
      <c r="H58"/>
      <c r="I58"/>
      <c r="J58"/>
      <c r="K58"/>
      <c r="L58"/>
      <c r="M58"/>
      <c r="N58"/>
      <c r="R58" s="473"/>
    </row>
    <row r="59" spans="1:52">
      <c r="A59"/>
      <c r="B59"/>
      <c r="C59"/>
      <c r="D59"/>
      <c r="E59"/>
      <c r="F59"/>
      <c r="G59"/>
      <c r="H59"/>
      <c r="I59"/>
      <c r="J59"/>
      <c r="K59"/>
      <c r="L59"/>
      <c r="M59"/>
      <c r="N59"/>
      <c r="R59" s="473"/>
    </row>
    <row r="60" spans="1:52">
      <c r="A60"/>
      <c r="B60"/>
      <c r="C60"/>
      <c r="D60"/>
      <c r="E60"/>
      <c r="F60"/>
      <c r="G60"/>
      <c r="H60"/>
      <c r="I60"/>
      <c r="J60"/>
      <c r="K60"/>
      <c r="L60"/>
      <c r="M60"/>
      <c r="N60"/>
      <c r="R60" s="473"/>
    </row>
    <row r="61" spans="1:52">
      <c r="A61"/>
      <c r="B61"/>
      <c r="C61"/>
      <c r="D61"/>
      <c r="E61"/>
      <c r="F61"/>
      <c r="G61"/>
      <c r="H61"/>
      <c r="I61"/>
      <c r="J61"/>
      <c r="K61"/>
      <c r="L61"/>
      <c r="M61"/>
      <c r="N61"/>
      <c r="R61" s="473"/>
    </row>
    <row r="62" spans="1:52">
      <c r="A62"/>
      <c r="B62"/>
      <c r="C62"/>
      <c r="D62"/>
      <c r="E62"/>
      <c r="F62"/>
      <c r="G62"/>
      <c r="H62"/>
      <c r="I62"/>
      <c r="J62"/>
      <c r="K62"/>
      <c r="L62"/>
      <c r="M62"/>
      <c r="N62"/>
      <c r="R62" s="473"/>
    </row>
    <row r="63" spans="1:52">
      <c r="A63"/>
      <c r="B63"/>
      <c r="C63"/>
      <c r="D63"/>
      <c r="E63"/>
      <c r="F63"/>
      <c r="G63"/>
      <c r="H63"/>
      <c r="I63"/>
      <c r="J63"/>
      <c r="K63"/>
      <c r="L63"/>
      <c r="M63"/>
      <c r="N63"/>
      <c r="R63" s="473"/>
    </row>
    <row r="64" spans="1:52">
      <c r="A64"/>
      <c r="B64"/>
      <c r="C64"/>
      <c r="D64"/>
      <c r="E64"/>
      <c r="F64"/>
      <c r="G64"/>
      <c r="H64"/>
      <c r="I64"/>
      <c r="J64"/>
      <c r="K64"/>
      <c r="L64"/>
      <c r="M64"/>
      <c r="N64"/>
      <c r="R64" s="473"/>
    </row>
    <row r="65" spans="1:20">
      <c r="A65"/>
      <c r="B65"/>
      <c r="C65"/>
      <c r="D65"/>
      <c r="E65"/>
      <c r="F65"/>
      <c r="G65"/>
      <c r="H65"/>
      <c r="I65"/>
      <c r="J65"/>
      <c r="K65"/>
      <c r="L65"/>
      <c r="M65"/>
      <c r="N65"/>
      <c r="R65" s="473"/>
    </row>
    <row r="66" spans="1:20">
      <c r="A66"/>
      <c r="B66"/>
      <c r="C66"/>
      <c r="D66"/>
      <c r="E66"/>
      <c r="F66"/>
      <c r="G66"/>
      <c r="H66"/>
      <c r="I66"/>
      <c r="J66"/>
      <c r="K66"/>
      <c r="L66"/>
      <c r="M66"/>
      <c r="N66"/>
      <c r="R66" s="473"/>
    </row>
    <row r="67" spans="1:20">
      <c r="A67"/>
      <c r="B67"/>
      <c r="C67"/>
      <c r="D67"/>
      <c r="E67"/>
      <c r="F67"/>
      <c r="G67"/>
      <c r="H67"/>
      <c r="I67"/>
      <c r="J67"/>
      <c r="K67"/>
      <c r="L67"/>
      <c r="M67"/>
      <c r="N67"/>
      <c r="R67" s="473"/>
    </row>
    <row r="68" spans="1:20">
      <c r="A68"/>
      <c r="B68"/>
      <c r="C68"/>
      <c r="D68"/>
      <c r="E68"/>
      <c r="F68"/>
      <c r="G68"/>
      <c r="H68"/>
      <c r="I68"/>
      <c r="J68"/>
      <c r="K68"/>
      <c r="L68"/>
      <c r="M68"/>
      <c r="N68"/>
      <c r="R68" s="473"/>
    </row>
    <row r="69" spans="1:20">
      <c r="A69"/>
      <c r="B69"/>
      <c r="C69"/>
      <c r="D69"/>
      <c r="E69"/>
      <c r="F69"/>
      <c r="G69"/>
      <c r="H69"/>
      <c r="I69"/>
      <c r="J69"/>
      <c r="K69"/>
      <c r="L69"/>
      <c r="M69"/>
      <c r="N69"/>
      <c r="R69" s="473"/>
    </row>
    <row r="70" spans="1:20">
      <c r="A70"/>
      <c r="B70"/>
      <c r="C70"/>
      <c r="D70"/>
      <c r="E70"/>
      <c r="F70"/>
      <c r="G70"/>
      <c r="H70"/>
      <c r="I70"/>
      <c r="J70"/>
      <c r="K70"/>
      <c r="L70"/>
      <c r="M70"/>
      <c r="N70"/>
      <c r="R70" s="473"/>
    </row>
    <row r="71" spans="1:20">
      <c r="A71"/>
      <c r="B71"/>
      <c r="C71"/>
      <c r="D71"/>
      <c r="E71"/>
      <c r="F71"/>
      <c r="G71"/>
      <c r="H71"/>
      <c r="I71"/>
      <c r="J71"/>
      <c r="K71"/>
      <c r="L71"/>
      <c r="M71"/>
      <c r="N71"/>
      <c r="R71" s="473"/>
    </row>
    <row r="72" spans="1:20">
      <c r="A72"/>
      <c r="B72"/>
      <c r="C72"/>
      <c r="D72"/>
      <c r="E72"/>
      <c r="F72"/>
      <c r="G72"/>
      <c r="H72"/>
      <c r="I72"/>
      <c r="J72"/>
      <c r="K72"/>
      <c r="L72"/>
      <c r="M72"/>
      <c r="N72"/>
      <c r="R72" s="473"/>
    </row>
    <row r="73" spans="1:20">
      <c r="A73"/>
      <c r="B73"/>
      <c r="C73"/>
      <c r="D73"/>
      <c r="E73"/>
      <c r="F73"/>
      <c r="G73"/>
      <c r="H73"/>
      <c r="I73"/>
      <c r="J73"/>
      <c r="K73"/>
      <c r="L73"/>
      <c r="M73"/>
      <c r="N73"/>
      <c r="R73" s="473"/>
    </row>
    <row r="74" spans="1:20">
      <c r="A74"/>
      <c r="B74"/>
      <c r="C74"/>
      <c r="D74"/>
      <c r="E74"/>
      <c r="F74"/>
      <c r="G74"/>
      <c r="H74"/>
      <c r="I74"/>
      <c r="J74"/>
      <c r="K74"/>
      <c r="L74"/>
      <c r="M74"/>
      <c r="N74"/>
      <c r="R74" s="473"/>
    </row>
    <row r="75" spans="1:20">
      <c r="A75"/>
      <c r="B75"/>
      <c r="C75"/>
      <c r="D75"/>
      <c r="E75"/>
      <c r="F75"/>
      <c r="G75"/>
      <c r="H75"/>
      <c r="I75"/>
      <c r="J75"/>
      <c r="K75"/>
      <c r="L75"/>
      <c r="M75"/>
      <c r="N75"/>
      <c r="R75" s="473"/>
    </row>
    <row r="76" spans="1:20">
      <c r="A76"/>
      <c r="B76"/>
      <c r="C76"/>
      <c r="D76"/>
      <c r="E76"/>
      <c r="F76"/>
      <c r="G76"/>
      <c r="H76"/>
      <c r="I76"/>
      <c r="J76"/>
      <c r="K76"/>
      <c r="L76"/>
      <c r="M76"/>
      <c r="N76"/>
      <c r="R76" s="473"/>
    </row>
    <row r="77" spans="1:20">
      <c r="A77"/>
      <c r="B77"/>
      <c r="C77"/>
      <c r="D77"/>
      <c r="E77"/>
      <c r="F77"/>
      <c r="G77"/>
      <c r="H77"/>
      <c r="I77"/>
      <c r="J77"/>
      <c r="K77"/>
      <c r="L77"/>
      <c r="M77"/>
      <c r="N77"/>
      <c r="R77" s="473"/>
    </row>
    <row r="78" spans="1:20">
      <c r="A78"/>
      <c r="B78"/>
      <c r="C78"/>
      <c r="D78"/>
      <c r="E78"/>
      <c r="F78"/>
      <c r="G78"/>
      <c r="H78"/>
      <c r="I78"/>
      <c r="J78"/>
      <c r="K78"/>
      <c r="L78"/>
      <c r="M78"/>
      <c r="N78"/>
      <c r="R78" s="540"/>
      <c r="S78" s="540"/>
      <c r="T78" s="474"/>
    </row>
    <row r="79" spans="1:20">
      <c r="A79"/>
      <c r="B79"/>
      <c r="C79"/>
      <c r="D79"/>
      <c r="E79"/>
      <c r="F79"/>
      <c r="G79"/>
      <c r="H79"/>
      <c r="I79"/>
      <c r="J79"/>
      <c r="K79"/>
      <c r="L79"/>
      <c r="M79"/>
      <c r="N79"/>
      <c r="P79" s="4"/>
    </row>
    <row r="80" spans="1:20">
      <c r="A80"/>
      <c r="B80"/>
      <c r="C80"/>
      <c r="D80"/>
      <c r="E80"/>
      <c r="F80"/>
      <c r="G80"/>
      <c r="H80"/>
      <c r="I80"/>
      <c r="J80"/>
      <c r="K80"/>
      <c r="L80"/>
      <c r="M80"/>
      <c r="N80"/>
    </row>
    <row r="81" spans="1:14">
      <c r="A81"/>
      <c r="B81"/>
      <c r="C81"/>
      <c r="D81"/>
      <c r="E81"/>
      <c r="F81"/>
      <c r="G81"/>
      <c r="H81"/>
      <c r="I81"/>
      <c r="J81"/>
      <c r="K81"/>
      <c r="L81"/>
      <c r="M81"/>
      <c r="N81"/>
    </row>
    <row r="82" spans="1:14">
      <c r="A82"/>
      <c r="B82"/>
      <c r="C82"/>
      <c r="D82"/>
      <c r="E82"/>
      <c r="F82"/>
      <c r="G82"/>
      <c r="H82"/>
      <c r="I82"/>
      <c r="J82"/>
      <c r="K82"/>
      <c r="L82"/>
      <c r="M82"/>
      <c r="N82"/>
    </row>
    <row r="83" spans="1:14">
      <c r="A83"/>
      <c r="B83"/>
      <c r="C83"/>
      <c r="D83"/>
      <c r="E83"/>
      <c r="F83"/>
      <c r="G83"/>
      <c r="H83"/>
      <c r="I83"/>
      <c r="J83"/>
      <c r="K83"/>
      <c r="L83"/>
      <c r="M83"/>
      <c r="N83"/>
    </row>
    <row r="84" spans="1:14">
      <c r="A84"/>
      <c r="B84"/>
      <c r="C84"/>
      <c r="D84"/>
      <c r="E84"/>
      <c r="F84"/>
      <c r="G84"/>
      <c r="H84"/>
      <c r="I84"/>
      <c r="J84"/>
      <c r="K84"/>
      <c r="L84"/>
      <c r="M84"/>
      <c r="N84"/>
    </row>
    <row r="85" spans="1:14">
      <c r="A85"/>
      <c r="B85"/>
      <c r="C85"/>
      <c r="D85"/>
      <c r="E85"/>
      <c r="F85"/>
      <c r="G85"/>
      <c r="H85"/>
      <c r="I85"/>
      <c r="J85"/>
      <c r="K85"/>
      <c r="L85"/>
      <c r="M85"/>
      <c r="N85"/>
    </row>
    <row r="86" spans="1:14">
      <c r="A86"/>
      <c r="B86"/>
      <c r="C86"/>
      <c r="D86"/>
      <c r="E86"/>
      <c r="F86"/>
      <c r="G86"/>
      <c r="H86"/>
      <c r="I86"/>
      <c r="J86"/>
      <c r="K86"/>
      <c r="L86"/>
      <c r="M86"/>
      <c r="N86"/>
    </row>
    <row r="87" spans="1:14">
      <c r="A87"/>
      <c r="B87"/>
      <c r="C87"/>
      <c r="D87"/>
      <c r="E87"/>
      <c r="F87"/>
      <c r="G87"/>
      <c r="H87"/>
      <c r="I87"/>
      <c r="J87"/>
      <c r="K87"/>
      <c r="L87"/>
      <c r="M87"/>
      <c r="N87"/>
    </row>
    <row r="88" spans="1:14">
      <c r="A88"/>
      <c r="B88"/>
      <c r="C88"/>
      <c r="D88"/>
      <c r="E88"/>
      <c r="F88"/>
      <c r="G88"/>
      <c r="H88"/>
      <c r="I88"/>
      <c r="J88"/>
      <c r="K88"/>
      <c r="L88"/>
      <c r="M88"/>
      <c r="N88"/>
    </row>
    <row r="89" spans="1:14">
      <c r="A89"/>
      <c r="B89"/>
      <c r="C89"/>
      <c r="D89"/>
      <c r="E89"/>
      <c r="F89"/>
      <c r="G89"/>
      <c r="H89"/>
      <c r="I89"/>
      <c r="J89"/>
      <c r="K89"/>
      <c r="L89"/>
      <c r="M89"/>
      <c r="N89"/>
    </row>
    <row r="90" spans="1:14">
      <c r="A90"/>
      <c r="B90"/>
      <c r="C90"/>
      <c r="D90"/>
      <c r="E90"/>
      <c r="F90"/>
      <c r="G90"/>
      <c r="H90"/>
      <c r="I90"/>
      <c r="J90"/>
      <c r="K90"/>
      <c r="L90"/>
      <c r="M90"/>
      <c r="N90"/>
    </row>
    <row r="91" spans="1:14">
      <c r="A91"/>
      <c r="B91"/>
      <c r="C91"/>
      <c r="D91"/>
      <c r="E91"/>
      <c r="F91"/>
      <c r="G91"/>
      <c r="H91"/>
      <c r="I91"/>
      <c r="J91"/>
      <c r="K91"/>
      <c r="L91"/>
      <c r="M91"/>
      <c r="N91"/>
    </row>
    <row r="92" spans="1:14">
      <c r="A92"/>
      <c r="B92"/>
      <c r="C92"/>
      <c r="D92"/>
      <c r="E92"/>
      <c r="F92"/>
      <c r="G92"/>
      <c r="H92"/>
      <c r="I92"/>
      <c r="J92"/>
      <c r="K92"/>
      <c r="L92"/>
      <c r="M92"/>
      <c r="N92"/>
    </row>
    <row r="93" spans="1:14">
      <c r="A93"/>
      <c r="B93"/>
      <c r="C93"/>
      <c r="D93"/>
      <c r="E93"/>
      <c r="F93"/>
      <c r="G93"/>
      <c r="H93"/>
      <c r="I93"/>
      <c r="J93"/>
      <c r="K93"/>
      <c r="L93"/>
      <c r="M93"/>
      <c r="N93"/>
    </row>
    <row r="94" spans="1:14">
      <c r="A94"/>
      <c r="B94"/>
      <c r="C94"/>
      <c r="D94"/>
      <c r="E94"/>
      <c r="F94"/>
      <c r="G94"/>
      <c r="H94"/>
      <c r="I94"/>
      <c r="J94"/>
      <c r="K94"/>
      <c r="L94"/>
      <c r="M94"/>
      <c r="N94"/>
    </row>
    <row r="95" spans="1:14">
      <c r="A95"/>
      <c r="B95"/>
      <c r="C95"/>
      <c r="D95"/>
      <c r="E95"/>
      <c r="F95"/>
      <c r="G95"/>
      <c r="H95"/>
      <c r="I95"/>
      <c r="J95"/>
      <c r="K95"/>
      <c r="L95"/>
      <c r="M95"/>
      <c r="N95"/>
    </row>
    <row r="96" spans="1:14">
      <c r="A96"/>
      <c r="B96"/>
      <c r="C96"/>
      <c r="D96"/>
      <c r="E96"/>
      <c r="F96"/>
      <c r="G96"/>
      <c r="H96"/>
      <c r="I96"/>
      <c r="J96"/>
      <c r="K96"/>
      <c r="L96"/>
      <c r="M96"/>
      <c r="N96"/>
    </row>
    <row r="97" spans="1:14">
      <c r="A97"/>
      <c r="B97"/>
      <c r="C97"/>
      <c r="D97"/>
      <c r="E97"/>
      <c r="F97"/>
      <c r="G97"/>
      <c r="H97"/>
      <c r="I97"/>
      <c r="J97"/>
      <c r="K97"/>
      <c r="L97"/>
      <c r="M97"/>
      <c r="N97"/>
    </row>
    <row r="98" spans="1:14">
      <c r="A98"/>
      <c r="B98"/>
      <c r="C98"/>
      <c r="D98"/>
      <c r="E98"/>
      <c r="F98"/>
      <c r="G98"/>
      <c r="H98"/>
      <c r="I98"/>
      <c r="J98"/>
      <c r="K98"/>
      <c r="L98"/>
      <c r="M98"/>
      <c r="N98"/>
    </row>
    <row r="99" spans="1:14">
      <c r="A99"/>
      <c r="B99"/>
      <c r="C99"/>
      <c r="D99"/>
      <c r="E99"/>
      <c r="F99"/>
      <c r="G99"/>
      <c r="H99"/>
      <c r="I99"/>
      <c r="J99"/>
      <c r="K99"/>
      <c r="L99"/>
      <c r="M99"/>
      <c r="N99"/>
    </row>
    <row r="100" spans="1:14">
      <c r="A100"/>
      <c r="B100"/>
      <c r="C100"/>
      <c r="D100"/>
      <c r="E100"/>
      <c r="F100"/>
      <c r="G100"/>
      <c r="H100"/>
      <c r="I100"/>
      <c r="J100"/>
      <c r="K100"/>
      <c r="L100"/>
      <c r="M100"/>
      <c r="N100"/>
    </row>
    <row r="101" spans="1:14">
      <c r="A101"/>
      <c r="B101"/>
      <c r="C101"/>
      <c r="D101"/>
      <c r="E101"/>
      <c r="F101"/>
      <c r="G101"/>
      <c r="H101"/>
      <c r="I101"/>
      <c r="J101"/>
      <c r="K101"/>
      <c r="L101"/>
      <c r="M101"/>
      <c r="N101"/>
    </row>
    <row r="102" spans="1:14">
      <c r="A102"/>
      <c r="B102"/>
      <c r="C102"/>
      <c r="D102"/>
      <c r="E102"/>
      <c r="F102"/>
      <c r="G102"/>
      <c r="H102"/>
      <c r="I102"/>
      <c r="J102"/>
      <c r="K102"/>
      <c r="L102"/>
      <c r="M102"/>
      <c r="N102"/>
    </row>
    <row r="103" spans="1:14">
      <c r="A103"/>
      <c r="B103"/>
      <c r="C103"/>
      <c r="D103"/>
      <c r="E103"/>
      <c r="F103"/>
      <c r="G103"/>
      <c r="H103"/>
      <c r="I103"/>
      <c r="J103"/>
      <c r="K103"/>
      <c r="L103"/>
      <c r="M103"/>
      <c r="N103"/>
    </row>
    <row r="104" spans="1:14">
      <c r="A104"/>
      <c r="B104"/>
      <c r="C104"/>
      <c r="D104"/>
      <c r="E104"/>
      <c r="F104"/>
      <c r="G104"/>
      <c r="H104"/>
      <c r="I104"/>
      <c r="J104"/>
      <c r="K104"/>
      <c r="L104"/>
      <c r="M104"/>
      <c r="N104"/>
    </row>
    <row r="105" spans="1:14">
      <c r="A105"/>
      <c r="B105"/>
      <c r="C105"/>
      <c r="D105"/>
      <c r="E105"/>
      <c r="F105"/>
      <c r="G105"/>
      <c r="H105"/>
      <c r="I105"/>
      <c r="J105"/>
      <c r="K105"/>
      <c r="L105"/>
      <c r="M105"/>
      <c r="N105"/>
    </row>
    <row r="106" spans="1:14">
      <c r="A106"/>
      <c r="B106"/>
      <c r="C106"/>
      <c r="D106"/>
      <c r="E106"/>
      <c r="F106"/>
      <c r="G106"/>
      <c r="H106"/>
      <c r="I106"/>
      <c r="J106"/>
      <c r="K106"/>
      <c r="L106"/>
      <c r="M106"/>
      <c r="N106"/>
    </row>
    <row r="107" spans="1:14">
      <c r="A107"/>
      <c r="B107"/>
      <c r="C107"/>
      <c r="D107"/>
      <c r="E107"/>
      <c r="F107"/>
      <c r="G107"/>
      <c r="H107"/>
      <c r="I107"/>
      <c r="J107"/>
      <c r="K107"/>
      <c r="L107"/>
      <c r="M107"/>
      <c r="N107"/>
    </row>
    <row r="108" spans="1:14">
      <c r="A108"/>
      <c r="B108"/>
      <c r="C108"/>
      <c r="D108"/>
      <c r="E108"/>
      <c r="F108"/>
      <c r="G108"/>
      <c r="H108"/>
      <c r="I108"/>
      <c r="J108"/>
      <c r="K108"/>
      <c r="L108"/>
      <c r="M108"/>
      <c r="N108"/>
    </row>
    <row r="109" spans="1:14">
      <c r="A109"/>
      <c r="B109"/>
      <c r="C109"/>
      <c r="D109"/>
      <c r="E109"/>
      <c r="F109"/>
      <c r="G109"/>
      <c r="H109"/>
      <c r="I109"/>
      <c r="J109"/>
      <c r="K109"/>
      <c r="L109"/>
      <c r="M109"/>
      <c r="N109"/>
    </row>
    <row r="110" spans="1:14">
      <c r="A110"/>
      <c r="B110"/>
      <c r="C110"/>
      <c r="D110"/>
      <c r="E110"/>
      <c r="F110"/>
      <c r="G110"/>
      <c r="H110"/>
      <c r="I110"/>
      <c r="J110"/>
      <c r="K110"/>
      <c r="L110"/>
      <c r="M110"/>
      <c r="N110"/>
    </row>
    <row r="111" spans="1:14">
      <c r="A111"/>
      <c r="B111"/>
      <c r="C111"/>
      <c r="D111"/>
      <c r="E111"/>
      <c r="F111"/>
      <c r="G111"/>
      <c r="H111"/>
      <c r="I111"/>
      <c r="J111"/>
      <c r="K111"/>
      <c r="L111"/>
      <c r="M111"/>
      <c r="N111"/>
    </row>
    <row r="112" spans="1:14">
      <c r="A112"/>
      <c r="B112"/>
      <c r="C112"/>
      <c r="D112"/>
      <c r="E112"/>
      <c r="F112"/>
      <c r="G112"/>
      <c r="H112"/>
      <c r="I112"/>
      <c r="J112"/>
      <c r="K112"/>
      <c r="L112"/>
      <c r="M112"/>
      <c r="N112"/>
    </row>
    <row r="113" spans="1:14">
      <c r="A113"/>
      <c r="B113"/>
      <c r="C113"/>
      <c r="D113"/>
      <c r="E113"/>
      <c r="F113"/>
      <c r="G113"/>
      <c r="H113"/>
      <c r="I113"/>
      <c r="J113"/>
      <c r="K113"/>
      <c r="L113"/>
      <c r="M113"/>
      <c r="N113"/>
    </row>
    <row r="114" spans="1:14">
      <c r="A114"/>
      <c r="B114"/>
      <c r="C114"/>
      <c r="D114"/>
      <c r="E114"/>
      <c r="F114"/>
      <c r="G114"/>
      <c r="H114"/>
      <c r="I114"/>
      <c r="J114"/>
      <c r="K114"/>
      <c r="L114"/>
      <c r="M114"/>
      <c r="N114"/>
    </row>
    <row r="115" spans="1:14">
      <c r="A115"/>
      <c r="B115"/>
      <c r="C115"/>
      <c r="D115"/>
      <c r="E115"/>
      <c r="F115"/>
      <c r="G115"/>
      <c r="H115"/>
      <c r="I115"/>
      <c r="J115"/>
      <c r="K115"/>
      <c r="L115"/>
      <c r="M115"/>
      <c r="N115"/>
    </row>
    <row r="116" spans="1:14">
      <c r="A116"/>
      <c r="B116"/>
      <c r="C116"/>
      <c r="D116"/>
      <c r="E116"/>
      <c r="F116"/>
      <c r="G116"/>
      <c r="H116"/>
      <c r="I116"/>
      <c r="J116"/>
      <c r="K116"/>
      <c r="L116"/>
      <c r="M116"/>
      <c r="N116"/>
    </row>
    <row r="117" spans="1:14">
      <c r="A117"/>
      <c r="B117"/>
      <c r="C117"/>
      <c r="D117"/>
      <c r="E117"/>
      <c r="F117"/>
      <c r="G117"/>
      <c r="H117"/>
      <c r="I117"/>
      <c r="J117"/>
      <c r="K117"/>
      <c r="L117"/>
      <c r="M117"/>
      <c r="N117"/>
    </row>
    <row r="118" spans="1:14">
      <c r="A118"/>
      <c r="B118"/>
      <c r="C118"/>
      <c r="D118"/>
      <c r="E118"/>
      <c r="F118"/>
      <c r="G118"/>
      <c r="H118"/>
      <c r="I118"/>
      <c r="J118"/>
      <c r="K118"/>
      <c r="L118"/>
      <c r="M118"/>
      <c r="N118"/>
    </row>
    <row r="119" spans="1:14">
      <c r="A119"/>
      <c r="B119"/>
      <c r="C119"/>
      <c r="D119"/>
      <c r="E119"/>
      <c r="F119"/>
      <c r="G119"/>
      <c r="H119"/>
      <c r="I119"/>
      <c r="J119"/>
      <c r="K119"/>
      <c r="L119"/>
      <c r="M119"/>
      <c r="N119"/>
    </row>
    <row r="120" spans="1:14">
      <c r="A120"/>
      <c r="B120"/>
      <c r="C120"/>
      <c r="D120"/>
      <c r="E120"/>
      <c r="F120"/>
      <c r="G120"/>
      <c r="H120"/>
      <c r="I120"/>
      <c r="J120"/>
      <c r="K120"/>
      <c r="L120"/>
      <c r="M120"/>
      <c r="N120"/>
    </row>
    <row r="121" spans="1:14">
      <c r="A121"/>
      <c r="B121"/>
      <c r="C121"/>
      <c r="D121"/>
      <c r="E121"/>
      <c r="F121"/>
      <c r="G121"/>
      <c r="H121"/>
      <c r="I121"/>
      <c r="J121"/>
      <c r="K121"/>
      <c r="L121"/>
      <c r="M121"/>
      <c r="N121"/>
    </row>
    <row r="122" spans="1:14">
      <c r="A122"/>
      <c r="B122"/>
      <c r="C122"/>
      <c r="D122"/>
      <c r="E122"/>
      <c r="F122"/>
      <c r="G122"/>
      <c r="H122"/>
      <c r="I122"/>
      <c r="J122"/>
      <c r="K122"/>
      <c r="L122"/>
      <c r="M122"/>
      <c r="N122"/>
    </row>
    <row r="123" spans="1:14">
      <c r="A123"/>
      <c r="B123"/>
      <c r="C123"/>
      <c r="D123"/>
      <c r="E123"/>
      <c r="F123"/>
      <c r="G123"/>
      <c r="H123"/>
      <c r="I123"/>
      <c r="J123"/>
      <c r="K123"/>
      <c r="L123"/>
      <c r="M123"/>
      <c r="N123"/>
    </row>
    <row r="124" spans="1:14">
      <c r="A124"/>
      <c r="B124"/>
      <c r="C124"/>
      <c r="D124"/>
      <c r="E124"/>
      <c r="F124"/>
      <c r="G124"/>
      <c r="H124"/>
      <c r="I124"/>
      <c r="J124"/>
      <c r="K124"/>
      <c r="L124"/>
      <c r="M124"/>
      <c r="N124"/>
    </row>
    <row r="125" spans="1:14">
      <c r="A125"/>
      <c r="B125"/>
      <c r="C125"/>
      <c r="D125"/>
      <c r="E125"/>
      <c r="F125"/>
      <c r="G125"/>
      <c r="H125"/>
      <c r="I125"/>
      <c r="J125"/>
      <c r="K125"/>
      <c r="L125"/>
      <c r="M125"/>
      <c r="N125"/>
    </row>
    <row r="126" spans="1:14">
      <c r="A126"/>
      <c r="B126"/>
      <c r="C126"/>
      <c r="D126"/>
      <c r="E126"/>
      <c r="F126"/>
      <c r="G126"/>
      <c r="H126"/>
      <c r="I126"/>
      <c r="J126"/>
      <c r="K126"/>
      <c r="L126"/>
      <c r="M126"/>
      <c r="N126"/>
    </row>
    <row r="127" spans="1:14">
      <c r="A127"/>
      <c r="B127"/>
      <c r="C127"/>
      <c r="D127"/>
      <c r="E127"/>
      <c r="F127"/>
      <c r="G127"/>
      <c r="H127"/>
      <c r="I127"/>
      <c r="J127"/>
      <c r="K127"/>
      <c r="L127"/>
      <c r="M127"/>
      <c r="N127"/>
    </row>
    <row r="128" spans="1:14">
      <c r="A128"/>
      <c r="B128"/>
      <c r="C128"/>
      <c r="D128"/>
      <c r="E128"/>
      <c r="F128"/>
      <c r="G128"/>
      <c r="H128"/>
      <c r="I128"/>
      <c r="J128"/>
      <c r="K128"/>
      <c r="L128"/>
      <c r="M128"/>
      <c r="N128"/>
    </row>
    <row r="129" spans="1:14">
      <c r="A129"/>
      <c r="B129"/>
      <c r="C129"/>
      <c r="D129"/>
      <c r="E129"/>
      <c r="F129"/>
      <c r="G129"/>
      <c r="H129"/>
      <c r="I129"/>
      <c r="J129"/>
      <c r="K129"/>
      <c r="L129"/>
      <c r="M129"/>
      <c r="N129"/>
    </row>
    <row r="130" spans="1:14">
      <c r="A130"/>
      <c r="B130"/>
      <c r="C130"/>
      <c r="D130"/>
      <c r="E130"/>
      <c r="F130"/>
      <c r="G130"/>
      <c r="H130"/>
      <c r="I130"/>
      <c r="J130"/>
      <c r="K130"/>
      <c r="L130"/>
      <c r="M130"/>
      <c r="N130"/>
    </row>
    <row r="131" spans="1:14">
      <c r="A131"/>
      <c r="B131"/>
      <c r="C131"/>
      <c r="D131"/>
      <c r="E131"/>
      <c r="F131"/>
      <c r="G131"/>
      <c r="H131"/>
      <c r="I131"/>
      <c r="J131"/>
      <c r="K131"/>
      <c r="L131"/>
      <c r="M131"/>
      <c r="N131"/>
    </row>
    <row r="132" spans="1:14">
      <c r="A132"/>
      <c r="B132"/>
      <c r="C132"/>
      <c r="D132"/>
      <c r="E132"/>
      <c r="F132"/>
      <c r="G132"/>
      <c r="H132"/>
      <c r="I132"/>
      <c r="J132"/>
      <c r="K132"/>
      <c r="L132"/>
      <c r="M132"/>
      <c r="N132"/>
    </row>
    <row r="133" spans="1:14">
      <c r="A133"/>
      <c r="B133"/>
      <c r="C133"/>
      <c r="D133"/>
      <c r="E133"/>
      <c r="F133"/>
      <c r="G133"/>
      <c r="H133"/>
      <c r="I133"/>
      <c r="J133"/>
      <c r="K133"/>
      <c r="L133"/>
      <c r="M133"/>
      <c r="N133"/>
    </row>
    <row r="134" spans="1:14">
      <c r="A134"/>
      <c r="B134"/>
      <c r="C134"/>
      <c r="D134"/>
      <c r="E134"/>
      <c r="F134"/>
      <c r="G134"/>
      <c r="H134"/>
      <c r="I134"/>
      <c r="J134"/>
      <c r="K134"/>
      <c r="L134"/>
      <c r="M134"/>
      <c r="N134"/>
    </row>
    <row r="135" spans="1:14">
      <c r="A135"/>
      <c r="B135"/>
      <c r="C135"/>
      <c r="D135"/>
      <c r="E135"/>
      <c r="F135"/>
      <c r="G135"/>
      <c r="H135"/>
      <c r="I135"/>
      <c r="J135"/>
      <c r="K135"/>
      <c r="L135"/>
      <c r="M135"/>
      <c r="N135"/>
    </row>
    <row r="136" spans="1:14">
      <c r="A136"/>
      <c r="B136"/>
      <c r="C136"/>
      <c r="D136"/>
      <c r="E136"/>
      <c r="F136"/>
      <c r="G136"/>
      <c r="H136"/>
      <c r="I136"/>
      <c r="J136"/>
      <c r="K136"/>
      <c r="L136"/>
      <c r="M136"/>
      <c r="N136"/>
    </row>
    <row r="137" spans="1:14">
      <c r="A137"/>
      <c r="B137"/>
      <c r="C137"/>
      <c r="D137"/>
      <c r="E137"/>
      <c r="F137"/>
      <c r="G137"/>
      <c r="H137"/>
      <c r="I137"/>
      <c r="J137"/>
      <c r="K137"/>
      <c r="L137"/>
      <c r="M137"/>
      <c r="N137"/>
    </row>
    <row r="138" spans="1:14">
      <c r="A138"/>
      <c r="B138"/>
      <c r="C138"/>
      <c r="D138"/>
      <c r="E138"/>
      <c r="F138"/>
      <c r="G138"/>
      <c r="H138"/>
      <c r="I138"/>
      <c r="J138"/>
      <c r="K138"/>
      <c r="L138"/>
      <c r="M138"/>
      <c r="N138"/>
    </row>
    <row r="139" spans="1:14">
      <c r="A139"/>
      <c r="B139"/>
      <c r="C139"/>
      <c r="D139"/>
      <c r="E139"/>
      <c r="F139"/>
      <c r="G139"/>
      <c r="H139"/>
      <c r="I139"/>
      <c r="J139"/>
      <c r="K139"/>
      <c r="L139"/>
      <c r="M139"/>
      <c r="N139"/>
    </row>
    <row r="140" spans="1:14">
      <c r="A140"/>
      <c r="B140"/>
      <c r="C140"/>
      <c r="D140"/>
      <c r="E140"/>
      <c r="F140"/>
      <c r="G140"/>
      <c r="H140"/>
      <c r="I140"/>
      <c r="J140"/>
      <c r="K140"/>
      <c r="L140"/>
      <c r="M140"/>
      <c r="N140"/>
    </row>
    <row r="141" spans="1:14">
      <c r="A141"/>
      <c r="B141"/>
      <c r="C141"/>
      <c r="D141"/>
      <c r="E141"/>
      <c r="F141"/>
      <c r="G141"/>
      <c r="H141"/>
      <c r="I141"/>
      <c r="J141"/>
      <c r="K141"/>
      <c r="L141"/>
      <c r="M141"/>
      <c r="N141"/>
    </row>
    <row r="142" spans="1:14">
      <c r="A142"/>
      <c r="B142"/>
      <c r="C142"/>
      <c r="D142"/>
      <c r="E142"/>
      <c r="F142"/>
      <c r="G142"/>
      <c r="H142"/>
      <c r="I142"/>
      <c r="J142"/>
      <c r="K142"/>
      <c r="L142"/>
      <c r="M142"/>
      <c r="N142"/>
    </row>
    <row r="143" spans="1:14">
      <c r="A143"/>
      <c r="B143"/>
      <c r="C143"/>
      <c r="D143"/>
      <c r="E143"/>
      <c r="F143"/>
      <c r="G143"/>
      <c r="H143"/>
      <c r="I143"/>
      <c r="J143"/>
      <c r="K143"/>
      <c r="L143"/>
      <c r="M143"/>
      <c r="N143"/>
    </row>
    <row r="144" spans="1:14">
      <c r="A144"/>
      <c r="B144"/>
      <c r="C144"/>
      <c r="D144"/>
      <c r="E144"/>
      <c r="F144"/>
      <c r="G144"/>
      <c r="H144"/>
      <c r="I144"/>
      <c r="J144"/>
      <c r="K144"/>
      <c r="L144"/>
      <c r="M144"/>
      <c r="N144"/>
    </row>
    <row r="145" spans="1:14">
      <c r="A145"/>
      <c r="B145"/>
      <c r="C145"/>
      <c r="D145"/>
      <c r="E145"/>
      <c r="F145"/>
      <c r="G145"/>
      <c r="H145"/>
      <c r="I145"/>
      <c r="J145"/>
      <c r="K145"/>
      <c r="L145"/>
      <c r="M145"/>
      <c r="N145"/>
    </row>
    <row r="146" spans="1:14">
      <c r="A146"/>
      <c r="B146"/>
      <c r="C146"/>
      <c r="D146"/>
      <c r="E146"/>
      <c r="F146"/>
      <c r="G146"/>
      <c r="H146"/>
      <c r="I146"/>
      <c r="J146"/>
      <c r="K146"/>
      <c r="L146"/>
      <c r="M146"/>
      <c r="N146"/>
    </row>
    <row r="147" spans="1:14">
      <c r="A147"/>
      <c r="B147"/>
      <c r="C147"/>
      <c r="D147"/>
      <c r="E147"/>
      <c r="F147"/>
      <c r="G147"/>
      <c r="H147"/>
      <c r="I147"/>
      <c r="J147"/>
      <c r="K147"/>
      <c r="L147"/>
      <c r="M147"/>
      <c r="N147"/>
    </row>
    <row r="148" spans="1:14">
      <c r="A148"/>
      <c r="B148"/>
      <c r="C148"/>
      <c r="D148"/>
      <c r="E148"/>
      <c r="F148"/>
      <c r="G148"/>
      <c r="H148"/>
      <c r="I148"/>
      <c r="J148"/>
      <c r="K148"/>
      <c r="L148"/>
      <c r="M148"/>
      <c r="N148"/>
    </row>
    <row r="149" spans="1:14">
      <c r="A149"/>
      <c r="B149"/>
      <c r="C149"/>
      <c r="D149"/>
      <c r="E149"/>
      <c r="F149"/>
      <c r="G149"/>
      <c r="H149"/>
      <c r="I149"/>
      <c r="J149"/>
      <c r="K149"/>
      <c r="L149"/>
      <c r="M149"/>
      <c r="N149"/>
    </row>
    <row r="150" spans="1:14">
      <c r="A150"/>
      <c r="B150"/>
      <c r="C150"/>
      <c r="D150"/>
      <c r="E150"/>
      <c r="F150"/>
      <c r="G150"/>
      <c r="H150"/>
      <c r="I150"/>
      <c r="J150"/>
      <c r="K150"/>
      <c r="L150"/>
      <c r="M150"/>
      <c r="N150"/>
    </row>
    <row r="151" spans="1:14">
      <c r="A151"/>
      <c r="B151"/>
      <c r="C151"/>
      <c r="D151"/>
      <c r="E151"/>
      <c r="F151"/>
      <c r="G151"/>
      <c r="H151"/>
      <c r="I151"/>
      <c r="J151"/>
      <c r="K151"/>
      <c r="L151"/>
      <c r="M151"/>
      <c r="N151"/>
    </row>
    <row r="152" spans="1:14">
      <c r="A152"/>
      <c r="B152"/>
      <c r="C152"/>
      <c r="D152"/>
      <c r="E152"/>
      <c r="F152"/>
      <c r="G152"/>
      <c r="H152"/>
      <c r="I152"/>
      <c r="J152"/>
      <c r="K152"/>
      <c r="L152"/>
      <c r="M152"/>
      <c r="N152"/>
    </row>
    <row r="153" spans="1:14">
      <c r="A153"/>
      <c r="B153"/>
      <c r="C153"/>
      <c r="D153"/>
      <c r="E153"/>
      <c r="F153"/>
      <c r="G153"/>
      <c r="H153"/>
      <c r="I153"/>
      <c r="J153"/>
      <c r="K153"/>
      <c r="L153"/>
      <c r="M153"/>
      <c r="N153"/>
    </row>
    <row r="154" spans="1:14">
      <c r="A154"/>
      <c r="B154"/>
      <c r="C154"/>
      <c r="D154"/>
      <c r="E154"/>
      <c r="F154"/>
      <c r="G154"/>
      <c r="H154"/>
      <c r="I154"/>
      <c r="J154"/>
      <c r="K154"/>
      <c r="L154"/>
      <c r="M154"/>
      <c r="N154"/>
    </row>
    <row r="155" spans="1:14">
      <c r="A155"/>
      <c r="B155"/>
      <c r="C155"/>
      <c r="D155"/>
      <c r="E155"/>
      <c r="F155"/>
      <c r="G155"/>
      <c r="H155"/>
      <c r="I155"/>
      <c r="J155"/>
      <c r="K155"/>
      <c r="L155"/>
      <c r="M155"/>
      <c r="N155"/>
    </row>
    <row r="156" spans="1:14">
      <c r="A156"/>
      <c r="B156"/>
      <c r="C156"/>
      <c r="D156"/>
      <c r="E156"/>
      <c r="F156"/>
      <c r="G156"/>
      <c r="H156"/>
      <c r="I156"/>
      <c r="J156"/>
      <c r="K156"/>
      <c r="L156"/>
      <c r="M156"/>
      <c r="N156"/>
    </row>
    <row r="157" spans="1:14">
      <c r="A157"/>
      <c r="B157"/>
      <c r="C157"/>
      <c r="D157"/>
      <c r="E157"/>
      <c r="F157"/>
      <c r="G157"/>
      <c r="H157"/>
      <c r="I157"/>
      <c r="J157"/>
      <c r="K157"/>
      <c r="L157"/>
      <c r="M157"/>
      <c r="N157"/>
    </row>
    <row r="158" spans="1:14">
      <c r="A158"/>
      <c r="B158"/>
      <c r="C158"/>
      <c r="D158"/>
      <c r="E158"/>
      <c r="F158"/>
      <c r="G158"/>
      <c r="H158"/>
      <c r="I158"/>
      <c r="J158"/>
      <c r="K158"/>
      <c r="L158"/>
      <c r="M158"/>
      <c r="N158"/>
    </row>
    <row r="159" spans="1:14">
      <c r="A159"/>
      <c r="B159"/>
      <c r="C159"/>
      <c r="D159"/>
      <c r="E159"/>
      <c r="F159"/>
      <c r="G159"/>
      <c r="H159"/>
      <c r="I159"/>
      <c r="J159"/>
      <c r="K159"/>
      <c r="L159"/>
      <c r="M159"/>
      <c r="N159"/>
    </row>
    <row r="160" spans="1:14">
      <c r="A160"/>
      <c r="B160"/>
      <c r="C160"/>
      <c r="D160"/>
      <c r="E160"/>
      <c r="F160"/>
      <c r="G160"/>
      <c r="H160"/>
      <c r="I160"/>
      <c r="J160"/>
      <c r="K160"/>
      <c r="L160"/>
      <c r="M160"/>
      <c r="N160"/>
    </row>
    <row r="161" spans="1:14">
      <c r="A161"/>
      <c r="B161"/>
      <c r="C161"/>
      <c r="D161"/>
      <c r="E161"/>
      <c r="F161"/>
      <c r="G161"/>
      <c r="H161"/>
      <c r="I161"/>
      <c r="J161"/>
      <c r="K161"/>
      <c r="L161"/>
      <c r="M161"/>
      <c r="N161"/>
    </row>
    <row r="162" spans="1:14">
      <c r="A162"/>
      <c r="B162"/>
      <c r="C162"/>
      <c r="D162"/>
      <c r="E162"/>
      <c r="F162"/>
      <c r="G162"/>
      <c r="H162"/>
      <c r="I162"/>
      <c r="J162"/>
      <c r="K162"/>
      <c r="L162"/>
      <c r="M162"/>
      <c r="N162"/>
    </row>
    <row r="163" spans="1:14">
      <c r="A163"/>
      <c r="B163"/>
      <c r="C163"/>
      <c r="D163"/>
      <c r="E163"/>
      <c r="F163"/>
      <c r="G163"/>
      <c r="H163"/>
      <c r="I163"/>
      <c r="J163"/>
      <c r="K163"/>
      <c r="L163"/>
      <c r="M163"/>
      <c r="N163"/>
    </row>
    <row r="164" spans="1:14">
      <c r="A164"/>
      <c r="B164"/>
      <c r="C164"/>
      <c r="D164"/>
      <c r="E164"/>
      <c r="F164"/>
      <c r="G164"/>
      <c r="H164"/>
      <c r="I164"/>
      <c r="J164"/>
      <c r="K164"/>
      <c r="L164"/>
      <c r="M164"/>
      <c r="N164"/>
    </row>
    <row r="165" spans="1:14">
      <c r="A165"/>
      <c r="B165"/>
      <c r="C165"/>
      <c r="D165"/>
      <c r="E165"/>
      <c r="F165"/>
      <c r="G165"/>
      <c r="H165"/>
      <c r="I165"/>
      <c r="J165"/>
      <c r="K165"/>
      <c r="L165"/>
      <c r="M165"/>
      <c r="N165"/>
    </row>
    <row r="166" spans="1:14">
      <c r="A166"/>
      <c r="B166"/>
      <c r="C166"/>
      <c r="D166"/>
      <c r="E166"/>
      <c r="F166"/>
      <c r="G166"/>
      <c r="H166"/>
      <c r="I166"/>
      <c r="J166"/>
      <c r="K166"/>
      <c r="L166"/>
      <c r="M166"/>
      <c r="N166"/>
    </row>
    <row r="167" spans="1:14">
      <c r="A167"/>
      <c r="B167"/>
      <c r="C167"/>
      <c r="D167"/>
      <c r="E167"/>
      <c r="F167"/>
      <c r="G167"/>
      <c r="H167"/>
      <c r="I167"/>
      <c r="J167"/>
      <c r="K167"/>
      <c r="L167"/>
      <c r="M167"/>
      <c r="N167"/>
    </row>
    <row r="168" spans="1:14">
      <c r="A168"/>
      <c r="B168"/>
      <c r="C168"/>
      <c r="D168"/>
      <c r="E168"/>
      <c r="F168"/>
      <c r="G168"/>
      <c r="H168"/>
      <c r="I168"/>
      <c r="J168"/>
      <c r="K168"/>
      <c r="L168"/>
      <c r="M168"/>
      <c r="N168"/>
    </row>
    <row r="169" spans="1:14">
      <c r="A169"/>
      <c r="B169"/>
      <c r="C169"/>
      <c r="D169"/>
      <c r="E169"/>
      <c r="F169"/>
      <c r="G169"/>
      <c r="H169"/>
      <c r="I169"/>
      <c r="J169"/>
      <c r="K169"/>
      <c r="L169"/>
      <c r="M169"/>
      <c r="N169"/>
    </row>
    <row r="170" spans="1:14">
      <c r="A170"/>
      <c r="B170"/>
      <c r="C170"/>
      <c r="D170"/>
      <c r="E170"/>
      <c r="F170"/>
      <c r="G170"/>
      <c r="H170"/>
      <c r="I170"/>
      <c r="J170"/>
      <c r="K170"/>
      <c r="L170"/>
      <c r="M170"/>
      <c r="N170"/>
    </row>
    <row r="171" spans="1:14">
      <c r="A171"/>
      <c r="B171"/>
      <c r="C171"/>
      <c r="D171"/>
      <c r="E171"/>
      <c r="F171"/>
      <c r="G171"/>
      <c r="H171"/>
      <c r="I171"/>
      <c r="J171"/>
      <c r="K171"/>
      <c r="L171"/>
      <c r="M171"/>
      <c r="N171"/>
    </row>
    <row r="172" spans="1:14">
      <c r="A172"/>
      <c r="B172"/>
      <c r="C172"/>
      <c r="D172"/>
      <c r="E172"/>
      <c r="F172"/>
      <c r="G172"/>
      <c r="H172"/>
      <c r="I172"/>
      <c r="J172"/>
      <c r="K172"/>
      <c r="L172"/>
      <c r="M172"/>
      <c r="N172"/>
    </row>
    <row r="173" spans="1:14">
      <c r="A173"/>
      <c r="B173"/>
      <c r="C173"/>
      <c r="D173"/>
      <c r="E173"/>
      <c r="F173"/>
      <c r="G173"/>
      <c r="H173"/>
      <c r="I173"/>
      <c r="J173"/>
      <c r="K173"/>
      <c r="L173"/>
      <c r="M173"/>
      <c r="N173"/>
    </row>
    <row r="174" spans="1:14">
      <c r="A174"/>
      <c r="B174"/>
      <c r="C174"/>
      <c r="D174"/>
      <c r="E174"/>
      <c r="F174"/>
      <c r="G174"/>
      <c r="H174"/>
      <c r="I174"/>
      <c r="J174"/>
      <c r="K174"/>
      <c r="L174"/>
      <c r="M174"/>
      <c r="N174"/>
    </row>
    <row r="175" spans="1:14">
      <c r="A175"/>
      <c r="B175"/>
      <c r="C175"/>
      <c r="D175"/>
      <c r="E175"/>
      <c r="F175"/>
      <c r="G175"/>
      <c r="H175"/>
      <c r="I175"/>
      <c r="J175"/>
      <c r="K175"/>
      <c r="L175"/>
      <c r="M175"/>
      <c r="N175"/>
    </row>
    <row r="176" spans="1:14">
      <c r="A176"/>
      <c r="B176"/>
      <c r="C176"/>
      <c r="D176"/>
      <c r="E176"/>
      <c r="F176"/>
      <c r="G176"/>
      <c r="H176"/>
      <c r="I176"/>
      <c r="J176"/>
      <c r="K176"/>
      <c r="L176"/>
      <c r="M176"/>
      <c r="N176"/>
    </row>
    <row r="177" spans="1:14">
      <c r="A177"/>
      <c r="B177"/>
      <c r="C177"/>
      <c r="D177"/>
      <c r="E177"/>
      <c r="F177"/>
      <c r="G177"/>
      <c r="H177"/>
      <c r="I177"/>
      <c r="J177"/>
      <c r="K177"/>
      <c r="L177"/>
      <c r="M177"/>
      <c r="N177"/>
    </row>
    <row r="178" spans="1:14">
      <c r="A178"/>
      <c r="B178"/>
      <c r="C178"/>
      <c r="D178"/>
      <c r="E178"/>
      <c r="F178"/>
      <c r="G178"/>
      <c r="H178"/>
      <c r="I178"/>
      <c r="J178"/>
      <c r="K178"/>
      <c r="L178"/>
      <c r="M178"/>
      <c r="N178"/>
    </row>
    <row r="179" spans="1:14">
      <c r="A179"/>
      <c r="B179"/>
      <c r="C179"/>
      <c r="D179"/>
      <c r="E179"/>
      <c r="F179"/>
      <c r="G179"/>
      <c r="H179"/>
      <c r="I179"/>
      <c r="J179"/>
      <c r="K179"/>
      <c r="L179"/>
      <c r="M179"/>
      <c r="N179"/>
    </row>
    <row r="180" spans="1:14">
      <c r="A180"/>
      <c r="B180"/>
      <c r="C180"/>
      <c r="D180"/>
      <c r="E180"/>
      <c r="F180"/>
      <c r="G180"/>
      <c r="H180"/>
      <c r="I180"/>
      <c r="J180"/>
      <c r="K180"/>
      <c r="L180"/>
      <c r="M180"/>
      <c r="N180"/>
    </row>
    <row r="181" spans="1:14">
      <c r="A181"/>
      <c r="B181"/>
      <c r="C181"/>
      <c r="D181"/>
      <c r="E181"/>
      <c r="F181"/>
      <c r="G181"/>
      <c r="H181"/>
      <c r="I181"/>
      <c r="J181"/>
      <c r="K181"/>
      <c r="L181"/>
      <c r="M181"/>
      <c r="N181"/>
    </row>
    <row r="182" spans="1:14">
      <c r="A182"/>
      <c r="B182"/>
      <c r="C182"/>
      <c r="D182"/>
      <c r="E182"/>
      <c r="F182"/>
      <c r="G182"/>
      <c r="H182"/>
      <c r="I182"/>
      <c r="J182"/>
      <c r="K182"/>
      <c r="L182"/>
      <c r="M182"/>
      <c r="N182"/>
    </row>
    <row r="183" spans="1:14">
      <c r="A183"/>
      <c r="B183"/>
      <c r="C183"/>
      <c r="D183"/>
      <c r="E183"/>
      <c r="F183"/>
      <c r="G183"/>
      <c r="H183"/>
      <c r="I183"/>
      <c r="J183"/>
      <c r="K183"/>
      <c r="L183"/>
      <c r="M183"/>
      <c r="N183"/>
    </row>
    <row r="184" spans="1:14">
      <c r="A184"/>
      <c r="B184"/>
      <c r="C184"/>
      <c r="D184"/>
      <c r="E184"/>
      <c r="F184"/>
      <c r="G184"/>
      <c r="H184"/>
      <c r="I184"/>
      <c r="J184"/>
      <c r="K184"/>
      <c r="L184"/>
      <c r="M184"/>
      <c r="N184"/>
    </row>
    <row r="185" spans="1:14">
      <c r="A185"/>
      <c r="B185"/>
      <c r="C185"/>
      <c r="D185"/>
      <c r="E185"/>
      <c r="F185"/>
      <c r="G185"/>
      <c r="H185"/>
      <c r="I185"/>
      <c r="J185"/>
      <c r="K185"/>
      <c r="L185"/>
      <c r="M185"/>
      <c r="N185"/>
    </row>
    <row r="186" spans="1:14">
      <c r="A186"/>
      <c r="B186"/>
      <c r="C186"/>
      <c r="D186"/>
      <c r="E186"/>
      <c r="F186"/>
      <c r="G186"/>
      <c r="H186"/>
      <c r="I186"/>
      <c r="J186"/>
      <c r="K186"/>
      <c r="L186"/>
      <c r="M186"/>
      <c r="N186"/>
    </row>
    <row r="187" spans="1:14">
      <c r="A187"/>
      <c r="B187"/>
      <c r="C187"/>
      <c r="D187"/>
      <c r="E187"/>
      <c r="F187"/>
      <c r="G187"/>
      <c r="H187"/>
      <c r="I187"/>
      <c r="J187"/>
      <c r="K187"/>
      <c r="L187"/>
      <c r="M187"/>
      <c r="N187"/>
    </row>
    <row r="188" spans="1:14">
      <c r="A188"/>
      <c r="B188"/>
      <c r="C188"/>
      <c r="D188"/>
      <c r="E188"/>
      <c r="F188"/>
      <c r="G188"/>
      <c r="H188"/>
      <c r="I188"/>
      <c r="J188"/>
      <c r="K188"/>
      <c r="L188"/>
      <c r="M188"/>
      <c r="N188"/>
    </row>
    <row r="189" spans="1:14">
      <c r="A189"/>
      <c r="B189"/>
      <c r="C189"/>
      <c r="D189"/>
      <c r="E189"/>
      <c r="F189"/>
      <c r="G189"/>
      <c r="H189"/>
      <c r="I189"/>
      <c r="J189"/>
      <c r="K189"/>
      <c r="L189"/>
      <c r="M189"/>
      <c r="N189"/>
    </row>
    <row r="190" spans="1:14">
      <c r="A190"/>
      <c r="B190"/>
      <c r="C190"/>
      <c r="D190"/>
      <c r="E190"/>
      <c r="F190"/>
      <c r="G190"/>
      <c r="H190"/>
      <c r="I190"/>
      <c r="J190"/>
      <c r="K190"/>
      <c r="L190"/>
      <c r="M190"/>
      <c r="N190"/>
    </row>
    <row r="191" spans="1:14">
      <c r="A191"/>
      <c r="B191"/>
      <c r="C191"/>
      <c r="D191"/>
      <c r="E191"/>
      <c r="F191"/>
      <c r="G191"/>
      <c r="H191"/>
      <c r="I191"/>
      <c r="J191"/>
      <c r="K191"/>
      <c r="L191"/>
      <c r="M191"/>
      <c r="N191"/>
    </row>
    <row r="192" spans="1:14">
      <c r="A192"/>
      <c r="B192"/>
      <c r="C192"/>
      <c r="D192"/>
      <c r="E192"/>
      <c r="F192"/>
      <c r="G192"/>
      <c r="H192"/>
      <c r="I192"/>
      <c r="J192"/>
      <c r="K192"/>
      <c r="L192"/>
      <c r="M192"/>
      <c r="N192"/>
    </row>
    <row r="193" spans="1:14">
      <c r="A193"/>
      <c r="B193"/>
      <c r="C193"/>
      <c r="D193"/>
      <c r="E193"/>
      <c r="F193"/>
      <c r="G193"/>
      <c r="H193"/>
      <c r="I193"/>
      <c r="J193"/>
      <c r="K193"/>
      <c r="L193"/>
      <c r="M193"/>
      <c r="N193"/>
    </row>
    <row r="194" spans="1:14">
      <c r="A194"/>
      <c r="B194"/>
      <c r="C194"/>
      <c r="D194"/>
      <c r="E194"/>
      <c r="F194"/>
      <c r="G194"/>
      <c r="H194"/>
      <c r="I194"/>
      <c r="J194"/>
      <c r="K194"/>
      <c r="L194"/>
      <c r="M194"/>
      <c r="N194"/>
    </row>
    <row r="195" spans="1:14">
      <c r="A195"/>
      <c r="B195"/>
      <c r="C195"/>
      <c r="D195"/>
      <c r="E195"/>
      <c r="F195"/>
      <c r="G195"/>
      <c r="H195"/>
      <c r="I195"/>
      <c r="J195"/>
      <c r="K195"/>
      <c r="L195"/>
      <c r="M195"/>
      <c r="N195"/>
    </row>
    <row r="196" spans="1:14">
      <c r="A196"/>
      <c r="B196"/>
      <c r="C196"/>
      <c r="D196"/>
      <c r="E196"/>
      <c r="F196"/>
      <c r="G196"/>
      <c r="H196"/>
      <c r="I196"/>
      <c r="J196"/>
      <c r="K196"/>
      <c r="L196"/>
      <c r="M196"/>
      <c r="N196"/>
    </row>
    <row r="197" spans="1:14">
      <c r="A197"/>
      <c r="B197"/>
      <c r="C197"/>
      <c r="D197"/>
      <c r="E197"/>
      <c r="F197"/>
      <c r="G197"/>
      <c r="H197"/>
      <c r="I197"/>
      <c r="J197"/>
      <c r="K197"/>
      <c r="L197"/>
      <c r="M197"/>
      <c r="N197"/>
    </row>
    <row r="198" spans="1:14">
      <c r="A198"/>
      <c r="B198"/>
      <c r="C198"/>
      <c r="D198"/>
      <c r="E198"/>
      <c r="F198"/>
      <c r="G198"/>
      <c r="H198"/>
      <c r="I198"/>
      <c r="J198"/>
      <c r="K198"/>
      <c r="L198"/>
      <c r="M198"/>
      <c r="N198"/>
    </row>
    <row r="199" spans="1:14">
      <c r="A199"/>
      <c r="B199"/>
      <c r="C199"/>
      <c r="D199"/>
      <c r="E199"/>
      <c r="F199"/>
      <c r="G199"/>
      <c r="H199"/>
      <c r="I199"/>
      <c r="J199"/>
      <c r="K199"/>
      <c r="L199"/>
      <c r="M199"/>
      <c r="N199"/>
    </row>
    <row r="200" spans="1:14">
      <c r="A200"/>
      <c r="B200"/>
      <c r="C200"/>
      <c r="D200"/>
      <c r="E200"/>
      <c r="F200"/>
      <c r="G200"/>
      <c r="H200"/>
      <c r="I200"/>
      <c r="J200"/>
      <c r="K200"/>
      <c r="L200"/>
      <c r="M200"/>
      <c r="N200"/>
    </row>
    <row r="201" spans="1:14">
      <c r="A201"/>
      <c r="B201"/>
      <c r="C201"/>
      <c r="D201"/>
      <c r="E201"/>
      <c r="F201"/>
      <c r="G201"/>
      <c r="H201"/>
      <c r="I201"/>
      <c r="J201"/>
      <c r="K201"/>
      <c r="L201"/>
      <c r="M201"/>
      <c r="N201"/>
    </row>
    <row r="202" spans="1:14">
      <c r="A202"/>
      <c r="B202"/>
      <c r="C202"/>
      <c r="D202"/>
      <c r="E202"/>
      <c r="F202"/>
      <c r="G202"/>
      <c r="H202"/>
      <c r="I202"/>
      <c r="J202"/>
      <c r="K202"/>
      <c r="L202"/>
      <c r="M202"/>
      <c r="N202"/>
    </row>
    <row r="203" spans="1:14">
      <c r="A203"/>
      <c r="B203"/>
      <c r="C203"/>
      <c r="D203"/>
      <c r="E203"/>
      <c r="F203"/>
      <c r="G203"/>
      <c r="H203"/>
      <c r="I203"/>
      <c r="J203"/>
      <c r="K203"/>
      <c r="L203"/>
      <c r="M203"/>
      <c r="N203"/>
    </row>
    <row r="204" spans="1:14">
      <c r="A204"/>
      <c r="B204"/>
      <c r="C204"/>
      <c r="D204"/>
      <c r="E204"/>
      <c r="F204"/>
      <c r="G204"/>
      <c r="H204"/>
      <c r="I204"/>
      <c r="J204"/>
      <c r="K204"/>
      <c r="L204"/>
      <c r="M204"/>
      <c r="N204"/>
    </row>
    <row r="205" spans="1:14">
      <c r="A205"/>
      <c r="B205"/>
      <c r="C205"/>
      <c r="D205"/>
      <c r="E205"/>
      <c r="F205"/>
      <c r="G205"/>
      <c r="H205"/>
      <c r="I205"/>
      <c r="J205"/>
      <c r="K205"/>
      <c r="L205"/>
      <c r="M205"/>
      <c r="N205"/>
    </row>
    <row r="206" spans="1:14">
      <c r="A206"/>
      <c r="B206"/>
      <c r="C206"/>
      <c r="D206"/>
      <c r="E206"/>
      <c r="F206"/>
      <c r="G206"/>
      <c r="H206"/>
      <c r="I206"/>
      <c r="J206"/>
      <c r="K206"/>
      <c r="L206"/>
      <c r="M206"/>
      <c r="N206"/>
    </row>
    <row r="207" spans="1:14">
      <c r="A207"/>
      <c r="B207"/>
      <c r="C207"/>
      <c r="D207"/>
      <c r="E207"/>
      <c r="F207"/>
      <c r="G207"/>
      <c r="H207"/>
      <c r="I207"/>
      <c r="J207"/>
      <c r="K207"/>
      <c r="L207"/>
      <c r="M207"/>
      <c r="N207"/>
    </row>
    <row r="208" spans="1:14">
      <c r="A208"/>
      <c r="B208"/>
      <c r="C208"/>
      <c r="D208"/>
      <c r="E208"/>
      <c r="F208"/>
      <c r="G208"/>
      <c r="H208"/>
      <c r="I208"/>
      <c r="J208"/>
      <c r="K208"/>
      <c r="L208"/>
      <c r="M208"/>
      <c r="N208"/>
    </row>
    <row r="209" spans="1:34">
      <c r="A209"/>
      <c r="B209"/>
      <c r="C209"/>
      <c r="D209"/>
      <c r="E209"/>
      <c r="F209"/>
      <c r="G209"/>
      <c r="H209"/>
      <c r="I209"/>
      <c r="J209"/>
      <c r="K209"/>
      <c r="L209"/>
      <c r="M209"/>
      <c r="N209"/>
    </row>
    <row r="210" spans="1:34">
      <c r="A210"/>
      <c r="B210"/>
      <c r="C210"/>
      <c r="D210"/>
      <c r="E210"/>
      <c r="F210"/>
      <c r="G210"/>
      <c r="H210"/>
      <c r="I210"/>
      <c r="J210"/>
      <c r="K210"/>
      <c r="L210"/>
      <c r="M210"/>
      <c r="N210"/>
    </row>
    <row r="211" spans="1:34">
      <c r="A211"/>
      <c r="B211"/>
      <c r="C211"/>
      <c r="D211"/>
      <c r="E211"/>
      <c r="F211"/>
      <c r="G211"/>
      <c r="H211"/>
      <c r="I211"/>
      <c r="J211"/>
      <c r="K211"/>
      <c r="L211"/>
      <c r="M211"/>
      <c r="N211"/>
    </row>
    <row r="212" spans="1:34">
      <c r="A212"/>
      <c r="B212"/>
      <c r="C212"/>
      <c r="D212"/>
      <c r="E212"/>
      <c r="F212"/>
      <c r="G212"/>
      <c r="H212"/>
      <c r="I212"/>
      <c r="J212"/>
      <c r="K212"/>
      <c r="L212"/>
      <c r="M212"/>
      <c r="N212"/>
    </row>
    <row r="213" spans="1:3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5" sqref="D5"/>
    </sheetView>
  </sheetViews>
  <sheetFormatPr defaultRowHeight="14.45"/>
  <cols>
    <col min="1" max="1" width="51.28515625" customWidth="1"/>
    <col min="2" max="2" width="61.5703125" customWidth="1"/>
    <col min="3" max="3" width="64" customWidth="1"/>
    <col min="4" max="4" width="42.85546875" customWidth="1"/>
    <col min="5" max="10" width="8.7109375" bestFit="1" customWidth="1"/>
  </cols>
  <sheetData>
    <row r="1" spans="1:9" ht="111" customHeight="1">
      <c r="A1" s="543" t="s">
        <v>77</v>
      </c>
      <c r="B1" s="542" t="s">
        <v>78</v>
      </c>
      <c r="C1" s="542"/>
      <c r="D1" s="466" t="s">
        <v>79</v>
      </c>
    </row>
    <row r="2" spans="1:9" ht="123" customHeight="1">
      <c r="A2" s="543"/>
      <c r="B2" s="542"/>
      <c r="C2" s="542"/>
      <c r="D2" s="25"/>
    </row>
    <row r="3" spans="1:9" ht="10.5" customHeight="1">
      <c r="A3" s="140"/>
      <c r="B3" s="517"/>
      <c r="C3" s="517"/>
      <c r="D3" s="25"/>
    </row>
    <row r="4" spans="1:9" ht="29.1" customHeight="1">
      <c r="A4" s="321" t="s">
        <v>80</v>
      </c>
      <c r="B4" s="541" t="s">
        <v>81</v>
      </c>
      <c r="C4" s="541"/>
      <c r="D4" s="25"/>
    </row>
    <row r="5" spans="1:9" ht="36.6" customHeight="1">
      <c r="A5" s="321" t="s">
        <v>82</v>
      </c>
      <c r="B5" s="541" t="s">
        <v>83</v>
      </c>
      <c r="C5" s="541"/>
      <c r="D5" s="25"/>
    </row>
    <row r="6" spans="1:9" ht="36.6" customHeight="1">
      <c r="A6" s="321" t="s">
        <v>84</v>
      </c>
      <c r="B6" s="545" t="s">
        <v>85</v>
      </c>
      <c r="C6" s="546"/>
      <c r="D6" s="25"/>
    </row>
    <row r="7" spans="1:9" ht="9" customHeight="1">
      <c r="A7" s="25"/>
      <c r="B7" s="25"/>
      <c r="C7" s="25"/>
      <c r="D7" s="25"/>
    </row>
    <row r="8" spans="1:9" ht="23.45">
      <c r="A8" s="544" t="s">
        <v>86</v>
      </c>
      <c r="B8" s="544"/>
      <c r="C8" s="544"/>
      <c r="D8" s="544"/>
    </row>
    <row r="9" spans="1:9" ht="18.95" thickBot="1">
      <c r="A9" s="460" t="s">
        <v>87</v>
      </c>
      <c r="B9" s="461" t="s">
        <v>88</v>
      </c>
      <c r="C9" s="461" t="s">
        <v>89</v>
      </c>
      <c r="D9" s="461" t="s">
        <v>90</v>
      </c>
    </row>
    <row r="10" spans="1:9" ht="232.5" thickBot="1">
      <c r="A10" s="95" t="s">
        <v>91</v>
      </c>
      <c r="B10" s="120" t="s">
        <v>92</v>
      </c>
      <c r="C10" s="107" t="s">
        <v>93</v>
      </c>
      <c r="D10" s="121" t="s">
        <v>94</v>
      </c>
    </row>
    <row r="11" spans="1:9" ht="15" thickBot="1">
      <c r="A11" s="86"/>
      <c r="B11" s="29"/>
      <c r="C11" s="29"/>
      <c r="D11" s="29"/>
      <c r="G11" s="3"/>
      <c r="H11" s="511"/>
      <c r="I11" s="511"/>
    </row>
    <row r="12" spans="1:9" ht="87" customHeight="1" thickBot="1">
      <c r="A12" s="95" t="s">
        <v>95</v>
      </c>
      <c r="B12" s="120" t="s">
        <v>96</v>
      </c>
      <c r="C12" s="107"/>
      <c r="D12" s="122"/>
    </row>
    <row r="13" spans="1:9" ht="15" thickBot="1">
      <c r="A13" s="86"/>
      <c r="B13" s="29"/>
      <c r="C13" s="29"/>
      <c r="D13" s="29"/>
      <c r="G13" s="3"/>
      <c r="H13" s="511"/>
      <c r="I13" s="511"/>
    </row>
    <row r="14" spans="1:9" ht="87" customHeight="1" thickBot="1">
      <c r="A14" s="95" t="s">
        <v>97</v>
      </c>
      <c r="B14" s="120" t="s">
        <v>98</v>
      </c>
      <c r="C14" s="107"/>
      <c r="D14" s="122"/>
    </row>
    <row r="15" spans="1:9" ht="15" thickBot="1">
      <c r="A15" s="86"/>
      <c r="B15" s="29"/>
      <c r="C15" s="29"/>
      <c r="D15" s="29"/>
      <c r="G15" s="3"/>
      <c r="H15" s="511"/>
      <c r="I15" s="511"/>
    </row>
    <row r="16" spans="1:9" ht="87" customHeight="1" thickBot="1">
      <c r="A16" s="95" t="s">
        <v>99</v>
      </c>
      <c r="B16" s="120" t="s">
        <v>100</v>
      </c>
      <c r="C16" s="319" t="s">
        <v>101</v>
      </c>
      <c r="D16" s="320" t="s">
        <v>102</v>
      </c>
      <c r="E16" s="318"/>
    </row>
    <row r="17" spans="1:9" ht="15" thickBot="1">
      <c r="A17" s="86"/>
      <c r="B17" s="29"/>
      <c r="C17" s="29"/>
      <c r="D17" s="29"/>
      <c r="G17" s="3"/>
      <c r="H17" s="511"/>
      <c r="I17" s="511"/>
    </row>
    <row r="18" spans="1:9" ht="87" customHeight="1" thickBot="1">
      <c r="A18" s="96" t="s">
        <v>103</v>
      </c>
      <c r="B18" s="120" t="s">
        <v>104</v>
      </c>
      <c r="C18" s="107"/>
      <c r="D18" s="121"/>
    </row>
    <row r="19" spans="1:9" ht="15" thickBot="1">
      <c r="A19" s="86"/>
      <c r="B19" s="29"/>
      <c r="C19" s="29"/>
      <c r="D19" s="29"/>
      <c r="G19" s="3"/>
      <c r="H19" s="511"/>
      <c r="I19" s="511"/>
    </row>
    <row r="20" spans="1:9" ht="87.6" customHeight="1" thickBot="1">
      <c r="A20" s="95" t="s">
        <v>105</v>
      </c>
      <c r="B20" s="120" t="s">
        <v>106</v>
      </c>
      <c r="C20" s="107" t="s">
        <v>107</v>
      </c>
      <c r="D20" s="121" t="s">
        <v>94</v>
      </c>
    </row>
    <row r="21" spans="1:9" ht="15" thickBot="1">
      <c r="A21" s="86"/>
      <c r="B21" s="29"/>
      <c r="C21" s="29"/>
      <c r="D21" s="29"/>
      <c r="G21" s="3"/>
      <c r="H21" s="511"/>
      <c r="I21" s="511"/>
    </row>
    <row r="22" spans="1:9" ht="87.6" customHeight="1" thickBot="1">
      <c r="A22" s="95" t="s">
        <v>108</v>
      </c>
      <c r="B22" s="120" t="s">
        <v>109</v>
      </c>
      <c r="C22" s="107" t="s">
        <v>110</v>
      </c>
      <c r="D22" s="121" t="s">
        <v>111</v>
      </c>
    </row>
    <row r="23" spans="1:9" ht="15" thickBot="1">
      <c r="A23" s="86"/>
      <c r="B23" s="29"/>
      <c r="C23" s="29"/>
      <c r="D23" s="29"/>
      <c r="G23" s="3"/>
      <c r="H23" s="511"/>
      <c r="I23" s="511"/>
    </row>
    <row r="24" spans="1:9" ht="87.6" customHeight="1" thickBot="1">
      <c r="A24" s="95" t="s">
        <v>112</v>
      </c>
      <c r="B24" s="120" t="s">
        <v>113</v>
      </c>
      <c r="C24" s="107" t="s">
        <v>114</v>
      </c>
      <c r="D24" s="123" t="s">
        <v>115</v>
      </c>
    </row>
    <row r="25" spans="1:9" ht="15" thickBot="1">
      <c r="A25" s="86"/>
      <c r="B25" s="29"/>
      <c r="C25" s="29"/>
      <c r="D25" s="29"/>
      <c r="G25" s="3"/>
      <c r="H25" s="511"/>
      <c r="I25" s="511"/>
    </row>
    <row r="26" spans="1:9" ht="72.95" thickBot="1">
      <c r="A26" s="95" t="s">
        <v>116</v>
      </c>
      <c r="B26" s="120" t="s">
        <v>117</v>
      </c>
      <c r="C26" s="107"/>
      <c r="D26" s="123"/>
    </row>
    <row r="27" spans="1:9">
      <c r="A27" s="86"/>
      <c r="B27" s="29"/>
      <c r="C27" s="29"/>
      <c r="D27" s="29"/>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56D40C7C-9091-464D-918C-8A2A0D88F8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J83" sqref="J83:J89"/>
    </sheetView>
  </sheetViews>
  <sheetFormatPr defaultRowHeight="14.45" outlineLevelRow="1"/>
  <cols>
    <col min="1" max="1" width="3.140625" style="79" customWidth="1"/>
    <col min="2" max="2" width="7.7109375" style="79" hidden="1" customWidth="1"/>
    <col min="3" max="3" width="48.5703125" style="12"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2" customWidth="1"/>
    <col min="10" max="10" width="28.42578125" style="12" customWidth="1"/>
    <col min="11" max="11" width="28" customWidth="1"/>
  </cols>
  <sheetData>
    <row r="1" spans="1:12" ht="26.1">
      <c r="C1" s="162" t="s">
        <v>91</v>
      </c>
      <c r="I1" s="474"/>
      <c r="J1" s="474"/>
    </row>
    <row r="2" spans="1:12" ht="3.75" customHeight="1">
      <c r="A2" s="78"/>
      <c r="B2" s="78"/>
      <c r="C2" s="474"/>
      <c r="I2" s="474"/>
      <c r="J2" s="474"/>
    </row>
    <row r="3" spans="1:12" ht="30" customHeight="1">
      <c r="C3" s="163" t="s">
        <v>118</v>
      </c>
      <c r="D3" s="481" t="s">
        <v>119</v>
      </c>
      <c r="E3" s="481" t="s">
        <v>120</v>
      </c>
      <c r="F3" s="562" t="s">
        <v>121</v>
      </c>
      <c r="G3" s="562"/>
      <c r="H3" s="562"/>
      <c r="I3" s="163" t="s">
        <v>122</v>
      </c>
      <c r="J3" s="163" t="s">
        <v>123</v>
      </c>
      <c r="K3" s="481" t="s">
        <v>124</v>
      </c>
    </row>
    <row r="4" spans="1:12" ht="170.1" hidden="1" customHeight="1" outlineLevel="1">
      <c r="A4" s="475" t="s">
        <v>125</v>
      </c>
      <c r="B4" s="127"/>
      <c r="C4" s="134" t="s">
        <v>126</v>
      </c>
      <c r="D4" s="134" t="s">
        <v>127</v>
      </c>
      <c r="E4" s="134" t="s">
        <v>128</v>
      </c>
      <c r="F4" s="566" t="s">
        <v>129</v>
      </c>
      <c r="G4" s="567"/>
      <c r="H4" s="568"/>
      <c r="I4" s="134" t="s">
        <v>130</v>
      </c>
      <c r="J4" s="134" t="s">
        <v>131</v>
      </c>
      <c r="K4" s="134" t="s">
        <v>132</v>
      </c>
    </row>
    <row r="5" spans="1:12" ht="15" hidden="1" customHeight="1" outlineLevel="1">
      <c r="A5" s="572" t="s">
        <v>133</v>
      </c>
      <c r="B5" s="169"/>
      <c r="C5" s="143" t="s">
        <v>134</v>
      </c>
      <c r="D5" s="497"/>
      <c r="E5" s="497"/>
      <c r="F5" s="573" t="s">
        <v>135</v>
      </c>
      <c r="G5" s="574"/>
      <c r="H5" s="575"/>
      <c r="I5" s="497"/>
      <c r="J5" s="497"/>
      <c r="K5" s="143" t="s">
        <v>136</v>
      </c>
    </row>
    <row r="6" spans="1:12" ht="15" hidden="1" customHeight="1" outlineLevel="1">
      <c r="A6" s="572"/>
      <c r="B6" s="169"/>
      <c r="C6" s="143" t="s">
        <v>137</v>
      </c>
      <c r="D6" s="497"/>
      <c r="E6" s="497"/>
      <c r="F6" s="576"/>
      <c r="G6" s="577"/>
      <c r="H6" s="578"/>
      <c r="I6" s="497"/>
      <c r="J6" s="497"/>
      <c r="K6" s="497"/>
    </row>
    <row r="7" spans="1:12" ht="15" hidden="1" customHeight="1" outlineLevel="1">
      <c r="A7" s="572"/>
      <c r="B7" s="169"/>
      <c r="C7" s="143" t="s">
        <v>84</v>
      </c>
      <c r="D7" s="497"/>
      <c r="E7" s="497"/>
      <c r="F7" s="576"/>
      <c r="G7" s="577"/>
      <c r="H7" s="578"/>
      <c r="I7" s="497"/>
      <c r="J7" s="497"/>
      <c r="K7" s="497"/>
    </row>
    <row r="8" spans="1:12" ht="15" hidden="1" customHeight="1" outlineLevel="1">
      <c r="A8" s="572"/>
      <c r="B8" s="169"/>
      <c r="C8" s="143" t="s">
        <v>138</v>
      </c>
      <c r="D8" s="497"/>
      <c r="E8" s="497"/>
      <c r="F8" s="576"/>
      <c r="G8" s="577"/>
      <c r="H8" s="578"/>
      <c r="I8" s="497"/>
      <c r="J8" s="497"/>
      <c r="K8" s="497"/>
    </row>
    <row r="9" spans="1:12" ht="4.5" hidden="1" customHeight="1" outlineLevel="1">
      <c r="A9" s="572"/>
      <c r="B9" s="169"/>
      <c r="C9" s="497"/>
      <c r="D9" s="497"/>
      <c r="E9" s="497"/>
      <c r="F9" s="576"/>
      <c r="G9" s="577"/>
      <c r="H9" s="578"/>
      <c r="I9" s="497"/>
      <c r="J9" s="497"/>
      <c r="K9" s="497"/>
    </row>
    <row r="10" spans="1:12" s="2" customFormat="1" ht="15" collapsed="1" thickBot="1">
      <c r="A10" s="80"/>
      <c r="B10" s="80"/>
      <c r="C10" s="164" t="s">
        <v>139</v>
      </c>
      <c r="D10" s="126" t="s">
        <v>140</v>
      </c>
      <c r="E10" s="126" t="s">
        <v>140</v>
      </c>
      <c r="F10" s="569" t="s">
        <v>141</v>
      </c>
      <c r="G10" s="570"/>
      <c r="H10" s="571"/>
      <c r="I10" s="164" t="s">
        <v>140</v>
      </c>
      <c r="J10" s="164" t="s">
        <v>140</v>
      </c>
      <c r="K10" s="126" t="s">
        <v>142</v>
      </c>
      <c r="L10" s="1"/>
    </row>
    <row r="11" spans="1:12" ht="15.75" customHeight="1">
      <c r="A11" s="556">
        <v>1</v>
      </c>
      <c r="B11" s="478">
        <f>A11+10</f>
        <v>11</v>
      </c>
      <c r="C11" s="550" t="s">
        <v>49</v>
      </c>
      <c r="D11" s="553" t="s">
        <v>22</v>
      </c>
      <c r="E11" s="553" t="s">
        <v>22</v>
      </c>
      <c r="F11" s="442" t="b">
        <v>1</v>
      </c>
      <c r="G11" s="54" t="s">
        <v>143</v>
      </c>
      <c r="H11" s="67" t="s">
        <v>144</v>
      </c>
      <c r="I11" s="547" t="s">
        <v>145</v>
      </c>
      <c r="J11" s="547"/>
      <c r="K11" s="563" t="s">
        <v>71</v>
      </c>
    </row>
    <row r="12" spans="1:12" ht="3.75" customHeight="1">
      <c r="A12" s="557"/>
      <c r="B12" s="479">
        <f t="shared" ref="B12:B17" si="0">B11+1</f>
        <v>12</v>
      </c>
      <c r="C12" s="551"/>
      <c r="D12" s="554"/>
      <c r="E12" s="554"/>
      <c r="I12" s="548"/>
      <c r="J12" s="548"/>
      <c r="K12" s="564"/>
    </row>
    <row r="13" spans="1:12">
      <c r="A13" s="557"/>
      <c r="B13" s="479">
        <f t="shared" si="0"/>
        <v>13</v>
      </c>
      <c r="C13" s="551"/>
      <c r="D13" s="554"/>
      <c r="E13" s="554"/>
      <c r="F13" s="443" t="b">
        <v>1</v>
      </c>
      <c r="G13" t="s">
        <v>2</v>
      </c>
      <c r="H13" s="3" t="s">
        <v>146</v>
      </c>
      <c r="I13" s="548"/>
      <c r="J13" s="548"/>
      <c r="K13" s="564"/>
    </row>
    <row r="14" spans="1:12" ht="3.75" customHeight="1">
      <c r="A14" s="557"/>
      <c r="B14" s="479">
        <f t="shared" si="0"/>
        <v>14</v>
      </c>
      <c r="C14" s="551"/>
      <c r="D14" s="554"/>
      <c r="E14" s="554"/>
      <c r="I14" s="548"/>
      <c r="J14" s="548"/>
      <c r="K14" s="564"/>
    </row>
    <row r="15" spans="1:12">
      <c r="A15" s="557"/>
      <c r="B15" s="479">
        <f t="shared" si="0"/>
        <v>15</v>
      </c>
      <c r="C15" s="551"/>
      <c r="D15" s="554"/>
      <c r="E15" s="554"/>
      <c r="F15" s="463" t="b">
        <v>0</v>
      </c>
      <c r="G15" s="39" t="s">
        <v>147</v>
      </c>
      <c r="H15" s="8" t="s">
        <v>148</v>
      </c>
      <c r="I15" s="548"/>
      <c r="J15" s="548"/>
      <c r="K15" s="564"/>
    </row>
    <row r="16" spans="1:12" ht="3.75" customHeight="1">
      <c r="A16" s="557"/>
      <c r="B16" s="479">
        <f t="shared" si="0"/>
        <v>16</v>
      </c>
      <c r="C16" s="551"/>
      <c r="D16" s="554"/>
      <c r="E16" s="554"/>
      <c r="I16" s="548"/>
      <c r="J16" s="548"/>
      <c r="K16" s="564"/>
    </row>
    <row r="17" spans="1:11" ht="29.45" thickBot="1">
      <c r="A17" s="558"/>
      <c r="B17" s="479">
        <f t="shared" si="0"/>
        <v>17</v>
      </c>
      <c r="C17" s="552"/>
      <c r="D17" s="555"/>
      <c r="E17" s="555"/>
      <c r="F17" s="444" t="b">
        <v>0</v>
      </c>
      <c r="G17" s="91" t="s">
        <v>99</v>
      </c>
      <c r="H17" s="47" t="s">
        <v>149</v>
      </c>
      <c r="I17" s="549"/>
      <c r="J17" s="549"/>
      <c r="K17" s="565"/>
    </row>
    <row r="18" spans="1:11" ht="4.5" customHeight="1" thickBot="1">
      <c r="C18" s="165"/>
      <c r="D18" s="119"/>
      <c r="E18" s="119"/>
      <c r="F18" s="27"/>
      <c r="G18" s="27"/>
      <c r="H18" s="30"/>
      <c r="I18" s="165"/>
      <c r="J18" s="165"/>
      <c r="K18" s="29"/>
    </row>
    <row r="19" spans="1:11">
      <c r="A19" s="556">
        <v>2</v>
      </c>
      <c r="B19" s="478">
        <f>B11+10</f>
        <v>21</v>
      </c>
      <c r="C19" s="550" t="s">
        <v>49</v>
      </c>
      <c r="D19" s="553" t="s">
        <v>150</v>
      </c>
      <c r="E19" s="553" t="s">
        <v>150</v>
      </c>
      <c r="F19" s="442" t="b">
        <v>1</v>
      </c>
      <c r="G19" s="54" t="s">
        <v>143</v>
      </c>
      <c r="H19" s="67" t="s">
        <v>144</v>
      </c>
      <c r="I19" s="547" t="s">
        <v>151</v>
      </c>
      <c r="J19" s="547"/>
      <c r="K19" s="563" t="s">
        <v>72</v>
      </c>
    </row>
    <row r="20" spans="1:11" ht="3.75" customHeight="1">
      <c r="A20" s="557"/>
      <c r="B20" s="479">
        <f t="shared" ref="B20:B25" si="1">B19+1</f>
        <v>22</v>
      </c>
      <c r="C20" s="551"/>
      <c r="D20" s="554"/>
      <c r="E20" s="554"/>
      <c r="I20" s="548"/>
      <c r="J20" s="548"/>
      <c r="K20" s="564"/>
    </row>
    <row r="21" spans="1:11">
      <c r="A21" s="557"/>
      <c r="B21" s="479">
        <f t="shared" si="1"/>
        <v>23</v>
      </c>
      <c r="C21" s="551"/>
      <c r="D21" s="554"/>
      <c r="E21" s="554"/>
      <c r="F21" s="443" t="b">
        <v>1</v>
      </c>
      <c r="G21" t="s">
        <v>2</v>
      </c>
      <c r="H21" s="3" t="s">
        <v>146</v>
      </c>
      <c r="I21" s="548"/>
      <c r="J21" s="548"/>
      <c r="K21" s="564"/>
    </row>
    <row r="22" spans="1:11" ht="3.75" customHeight="1">
      <c r="A22" s="557"/>
      <c r="B22" s="479">
        <f t="shared" si="1"/>
        <v>24</v>
      </c>
      <c r="C22" s="551"/>
      <c r="D22" s="554"/>
      <c r="E22" s="554"/>
      <c r="I22" s="548"/>
      <c r="J22" s="548"/>
      <c r="K22" s="564"/>
    </row>
    <row r="23" spans="1:11">
      <c r="A23" s="557"/>
      <c r="B23" s="479">
        <f t="shared" si="1"/>
        <v>25</v>
      </c>
      <c r="C23" s="551"/>
      <c r="D23" s="554"/>
      <c r="E23" s="554"/>
      <c r="F23" s="463" t="b">
        <v>1</v>
      </c>
      <c r="G23" s="39" t="s">
        <v>147</v>
      </c>
      <c r="H23" s="8" t="s">
        <v>148</v>
      </c>
      <c r="I23" s="548"/>
      <c r="J23" s="548"/>
      <c r="K23" s="564"/>
    </row>
    <row r="24" spans="1:11" ht="3.75" customHeight="1">
      <c r="A24" s="557"/>
      <c r="B24" s="479">
        <f t="shared" si="1"/>
        <v>26</v>
      </c>
      <c r="C24" s="551"/>
      <c r="D24" s="554"/>
      <c r="E24" s="554"/>
      <c r="I24" s="548"/>
      <c r="J24" s="548"/>
      <c r="K24" s="564"/>
    </row>
    <row r="25" spans="1:11" ht="29.45" thickBot="1">
      <c r="A25" s="558"/>
      <c r="B25" s="479">
        <f t="shared" si="1"/>
        <v>27</v>
      </c>
      <c r="C25" s="552"/>
      <c r="D25" s="555"/>
      <c r="E25" s="555"/>
      <c r="F25" s="444" t="b">
        <v>1</v>
      </c>
      <c r="G25" s="91" t="s">
        <v>99</v>
      </c>
      <c r="H25" s="47" t="s">
        <v>149</v>
      </c>
      <c r="I25" s="549"/>
      <c r="J25" s="549"/>
      <c r="K25" s="565"/>
    </row>
    <row r="26" spans="1:11" ht="4.5" customHeight="1" thickBot="1">
      <c r="C26" s="165"/>
      <c r="D26" s="119"/>
      <c r="E26" s="119"/>
      <c r="F26" s="27"/>
      <c r="G26" s="27"/>
      <c r="H26" s="30"/>
      <c r="I26" s="165"/>
      <c r="J26" s="165"/>
      <c r="K26" s="29"/>
    </row>
    <row r="27" spans="1:11" ht="15" customHeight="1">
      <c r="A27" s="556">
        <v>3</v>
      </c>
      <c r="B27" s="478">
        <f>B19+10</f>
        <v>31</v>
      </c>
      <c r="C27" s="550" t="s">
        <v>10</v>
      </c>
      <c r="D27" s="553" t="s">
        <v>152</v>
      </c>
      <c r="E27" s="553" t="s">
        <v>152</v>
      </c>
      <c r="F27" s="442" t="b">
        <v>0</v>
      </c>
      <c r="G27" s="54" t="s">
        <v>143</v>
      </c>
      <c r="H27" s="67" t="s">
        <v>144</v>
      </c>
      <c r="I27" s="547"/>
      <c r="J27" s="547"/>
      <c r="K27" s="563" t="s">
        <v>74</v>
      </c>
    </row>
    <row r="28" spans="1:11" ht="3.75" customHeight="1">
      <c r="A28" s="557"/>
      <c r="B28" s="479">
        <f t="shared" ref="B28:B33" si="2">B27+1</f>
        <v>32</v>
      </c>
      <c r="C28" s="551"/>
      <c r="D28" s="554"/>
      <c r="E28" s="554"/>
      <c r="I28" s="548"/>
      <c r="J28" s="548"/>
      <c r="K28" s="564"/>
    </row>
    <row r="29" spans="1:11">
      <c r="A29" s="557"/>
      <c r="B29" s="479">
        <f t="shared" si="2"/>
        <v>33</v>
      </c>
      <c r="C29" s="551"/>
      <c r="D29" s="554"/>
      <c r="E29" s="554"/>
      <c r="F29" s="443" t="b">
        <v>0</v>
      </c>
      <c r="G29" t="s">
        <v>2</v>
      </c>
      <c r="H29" s="3" t="s">
        <v>146</v>
      </c>
      <c r="I29" s="548"/>
      <c r="J29" s="548"/>
      <c r="K29" s="564"/>
    </row>
    <row r="30" spans="1:11" ht="3.75" customHeight="1">
      <c r="A30" s="557"/>
      <c r="B30" s="479">
        <f t="shared" si="2"/>
        <v>34</v>
      </c>
      <c r="C30" s="551"/>
      <c r="D30" s="554"/>
      <c r="E30" s="554"/>
      <c r="I30" s="548"/>
      <c r="J30" s="548"/>
      <c r="K30" s="564"/>
    </row>
    <row r="31" spans="1:11">
      <c r="A31" s="557"/>
      <c r="B31" s="479">
        <f t="shared" si="2"/>
        <v>35</v>
      </c>
      <c r="C31" s="551"/>
      <c r="D31" s="554"/>
      <c r="E31" s="554"/>
      <c r="F31" s="463" t="b">
        <v>0</v>
      </c>
      <c r="G31" s="39" t="s">
        <v>147</v>
      </c>
      <c r="H31" s="8" t="s">
        <v>148</v>
      </c>
      <c r="I31" s="548"/>
      <c r="J31" s="548"/>
      <c r="K31" s="564"/>
    </row>
    <row r="32" spans="1:11" ht="3.75" customHeight="1">
      <c r="A32" s="557"/>
      <c r="B32" s="479">
        <f t="shared" si="2"/>
        <v>36</v>
      </c>
      <c r="C32" s="551"/>
      <c r="D32" s="554"/>
      <c r="E32" s="554"/>
      <c r="I32" s="548"/>
      <c r="J32" s="548"/>
      <c r="K32" s="564"/>
    </row>
    <row r="33" spans="1:11" ht="29.45" thickBot="1">
      <c r="A33" s="558"/>
      <c r="B33" s="479">
        <f t="shared" si="2"/>
        <v>37</v>
      </c>
      <c r="C33" s="552"/>
      <c r="D33" s="555"/>
      <c r="E33" s="555"/>
      <c r="F33" s="444" t="b">
        <v>0</v>
      </c>
      <c r="G33" s="91" t="s">
        <v>99</v>
      </c>
      <c r="H33" s="47" t="s">
        <v>149</v>
      </c>
      <c r="I33" s="549"/>
      <c r="J33" s="549"/>
      <c r="K33" s="565"/>
    </row>
    <row r="34" spans="1:11" ht="4.5" customHeight="1" thickBot="1">
      <c r="C34" s="165"/>
      <c r="D34" s="119"/>
      <c r="E34" s="119"/>
      <c r="F34" s="27"/>
      <c r="G34" s="27"/>
      <c r="H34" s="30"/>
      <c r="I34" s="165"/>
      <c r="J34" s="165"/>
      <c r="K34" s="29"/>
    </row>
    <row r="35" spans="1:11" ht="15" customHeight="1">
      <c r="A35" s="556">
        <v>4</v>
      </c>
      <c r="B35" s="478">
        <f>B27+10</f>
        <v>41</v>
      </c>
      <c r="C35" s="550" t="s">
        <v>58</v>
      </c>
      <c r="D35" s="553" t="s">
        <v>153</v>
      </c>
      <c r="E35" s="553" t="s">
        <v>153</v>
      </c>
      <c r="F35" s="442" t="b">
        <v>1</v>
      </c>
      <c r="G35" s="54" t="s">
        <v>143</v>
      </c>
      <c r="H35" s="67" t="s">
        <v>144</v>
      </c>
      <c r="I35" s="547" t="s">
        <v>154</v>
      </c>
      <c r="J35" s="547"/>
      <c r="K35" s="563" t="s">
        <v>74</v>
      </c>
    </row>
    <row r="36" spans="1:11" ht="3.75" customHeight="1">
      <c r="A36" s="557"/>
      <c r="B36" s="479">
        <f t="shared" ref="B36:B41" si="3">B35+1</f>
        <v>42</v>
      </c>
      <c r="C36" s="551"/>
      <c r="D36" s="554"/>
      <c r="E36" s="554"/>
      <c r="I36" s="548"/>
      <c r="J36" s="548"/>
      <c r="K36" s="564"/>
    </row>
    <row r="37" spans="1:11">
      <c r="A37" s="557"/>
      <c r="B37" s="479">
        <f t="shared" si="3"/>
        <v>43</v>
      </c>
      <c r="C37" s="551"/>
      <c r="D37" s="554"/>
      <c r="E37" s="554"/>
      <c r="F37" s="443" t="b">
        <v>1</v>
      </c>
      <c r="G37" t="s">
        <v>2</v>
      </c>
      <c r="H37" s="3" t="s">
        <v>146</v>
      </c>
      <c r="I37" s="548"/>
      <c r="J37" s="548"/>
      <c r="K37" s="564"/>
    </row>
    <row r="38" spans="1:11" ht="3.75" customHeight="1">
      <c r="A38" s="557"/>
      <c r="B38" s="479">
        <f t="shared" si="3"/>
        <v>44</v>
      </c>
      <c r="C38" s="551"/>
      <c r="D38" s="554"/>
      <c r="E38" s="554"/>
      <c r="I38" s="548"/>
      <c r="J38" s="548"/>
      <c r="K38" s="564"/>
    </row>
    <row r="39" spans="1:11">
      <c r="A39" s="557"/>
      <c r="B39" s="479">
        <f t="shared" si="3"/>
        <v>45</v>
      </c>
      <c r="C39" s="551"/>
      <c r="D39" s="554"/>
      <c r="E39" s="554"/>
      <c r="F39" s="463" t="b">
        <v>1</v>
      </c>
      <c r="G39" s="39" t="s">
        <v>147</v>
      </c>
      <c r="H39" s="8" t="s">
        <v>148</v>
      </c>
      <c r="I39" s="548"/>
      <c r="J39" s="548"/>
      <c r="K39" s="564"/>
    </row>
    <row r="40" spans="1:11" ht="3.75" customHeight="1">
      <c r="A40" s="557"/>
      <c r="B40" s="479">
        <f t="shared" si="3"/>
        <v>46</v>
      </c>
      <c r="C40" s="551"/>
      <c r="D40" s="554"/>
      <c r="E40" s="554"/>
      <c r="I40" s="548"/>
      <c r="J40" s="548"/>
      <c r="K40" s="564"/>
    </row>
    <row r="41" spans="1:11" ht="29.45" thickBot="1">
      <c r="A41" s="558"/>
      <c r="B41" s="479">
        <f t="shared" si="3"/>
        <v>47</v>
      </c>
      <c r="C41" s="552"/>
      <c r="D41" s="555"/>
      <c r="E41" s="555"/>
      <c r="F41" s="444" t="b">
        <v>1</v>
      </c>
      <c r="G41" s="91" t="s">
        <v>99</v>
      </c>
      <c r="H41" s="47" t="s">
        <v>149</v>
      </c>
      <c r="I41" s="549"/>
      <c r="J41" s="549"/>
      <c r="K41" s="565"/>
    </row>
    <row r="42" spans="1:11" ht="4.5" customHeight="1" thickBot="1">
      <c r="C42" s="165"/>
      <c r="D42" s="119"/>
      <c r="E42" s="119"/>
      <c r="F42" s="27"/>
      <c r="G42" s="27"/>
      <c r="H42" s="30"/>
      <c r="I42" s="165"/>
      <c r="J42" s="165"/>
      <c r="K42" s="29"/>
    </row>
    <row r="43" spans="1:11" ht="15" customHeight="1">
      <c r="A43" s="559">
        <v>5</v>
      </c>
      <c r="B43" s="478">
        <f>B35+10</f>
        <v>51</v>
      </c>
      <c r="C43" s="550" t="s">
        <v>58</v>
      </c>
      <c r="D43" s="553" t="s">
        <v>155</v>
      </c>
      <c r="E43" s="553" t="s">
        <v>155</v>
      </c>
      <c r="F43" s="442" t="b">
        <v>1</v>
      </c>
      <c r="G43" s="54" t="s">
        <v>143</v>
      </c>
      <c r="H43" s="67" t="s">
        <v>144</v>
      </c>
      <c r="I43" s="547" t="s">
        <v>156</v>
      </c>
      <c r="J43" s="547"/>
      <c r="K43" s="563" t="s">
        <v>74</v>
      </c>
    </row>
    <row r="44" spans="1:11" ht="3.75" customHeight="1">
      <c r="A44" s="560"/>
      <c r="B44" s="479">
        <f t="shared" ref="B44:B49" si="4">B43+1</f>
        <v>52</v>
      </c>
      <c r="C44" s="551"/>
      <c r="D44" s="554"/>
      <c r="E44" s="554"/>
      <c r="I44" s="548"/>
      <c r="J44" s="548"/>
      <c r="K44" s="564"/>
    </row>
    <row r="45" spans="1:11">
      <c r="A45" s="560"/>
      <c r="B45" s="479">
        <f t="shared" si="4"/>
        <v>53</v>
      </c>
      <c r="C45" s="551"/>
      <c r="D45" s="554"/>
      <c r="E45" s="554"/>
      <c r="F45" s="443" t="b">
        <v>1</v>
      </c>
      <c r="G45" t="s">
        <v>2</v>
      </c>
      <c r="H45" s="3" t="s">
        <v>146</v>
      </c>
      <c r="I45" s="548"/>
      <c r="J45" s="548"/>
      <c r="K45" s="564"/>
    </row>
    <row r="46" spans="1:11" ht="3.75" customHeight="1">
      <c r="A46" s="560"/>
      <c r="B46" s="479">
        <f t="shared" si="4"/>
        <v>54</v>
      </c>
      <c r="C46" s="551"/>
      <c r="D46" s="554"/>
      <c r="E46" s="554"/>
      <c r="I46" s="548"/>
      <c r="J46" s="548"/>
      <c r="K46" s="564"/>
    </row>
    <row r="47" spans="1:11">
      <c r="A47" s="560"/>
      <c r="B47" s="479">
        <f t="shared" si="4"/>
        <v>55</v>
      </c>
      <c r="C47" s="551"/>
      <c r="D47" s="554"/>
      <c r="E47" s="554"/>
      <c r="F47" s="463" t="b">
        <v>1</v>
      </c>
      <c r="G47" s="39" t="s">
        <v>147</v>
      </c>
      <c r="H47" s="8" t="s">
        <v>148</v>
      </c>
      <c r="I47" s="548"/>
      <c r="J47" s="548"/>
      <c r="K47" s="564"/>
    </row>
    <row r="48" spans="1:11" ht="3.75" customHeight="1">
      <c r="A48" s="560"/>
      <c r="B48" s="479">
        <f t="shared" si="4"/>
        <v>56</v>
      </c>
      <c r="C48" s="551"/>
      <c r="D48" s="554"/>
      <c r="E48" s="554"/>
      <c r="I48" s="548"/>
      <c r="J48" s="548"/>
      <c r="K48" s="564"/>
    </row>
    <row r="49" spans="1:11" ht="29.45" thickBot="1">
      <c r="A49" s="561"/>
      <c r="B49" s="479">
        <f t="shared" si="4"/>
        <v>57</v>
      </c>
      <c r="C49" s="552"/>
      <c r="D49" s="555"/>
      <c r="E49" s="555"/>
      <c r="F49" s="444" t="b">
        <v>1</v>
      </c>
      <c r="G49" s="91" t="s">
        <v>99</v>
      </c>
      <c r="H49" s="47" t="s">
        <v>149</v>
      </c>
      <c r="I49" s="549"/>
      <c r="J49" s="549"/>
      <c r="K49" s="565"/>
    </row>
    <row r="50" spans="1:11" ht="4.5" customHeight="1" thickBot="1">
      <c r="C50" s="165"/>
      <c r="D50" s="119"/>
      <c r="E50" s="119"/>
      <c r="F50" s="27"/>
      <c r="G50" s="27"/>
      <c r="H50" s="30"/>
      <c r="I50" s="165"/>
      <c r="J50" s="165"/>
      <c r="K50" s="29"/>
    </row>
    <row r="51" spans="1:11" ht="15.75" customHeight="1">
      <c r="A51" s="556">
        <v>6</v>
      </c>
      <c r="B51" s="478">
        <f>B43+10</f>
        <v>61</v>
      </c>
      <c r="C51" s="550" t="s">
        <v>58</v>
      </c>
      <c r="D51" s="553" t="s">
        <v>157</v>
      </c>
      <c r="E51" s="553" t="s">
        <v>157</v>
      </c>
      <c r="F51" s="442" t="b">
        <v>1</v>
      </c>
      <c r="G51" s="54" t="s">
        <v>143</v>
      </c>
      <c r="H51" s="67" t="s">
        <v>144</v>
      </c>
      <c r="I51" s="547" t="s">
        <v>158</v>
      </c>
      <c r="J51" s="547"/>
      <c r="K51" s="563" t="s">
        <v>74</v>
      </c>
    </row>
    <row r="52" spans="1:11" ht="3.75" customHeight="1">
      <c r="A52" s="557"/>
      <c r="B52" s="479">
        <f t="shared" ref="B52:B57" si="5">B51+1</f>
        <v>62</v>
      </c>
      <c r="C52" s="551"/>
      <c r="D52" s="554"/>
      <c r="E52" s="554"/>
      <c r="I52" s="548"/>
      <c r="J52" s="548"/>
      <c r="K52" s="564"/>
    </row>
    <row r="53" spans="1:11">
      <c r="A53" s="557"/>
      <c r="B53" s="479">
        <f t="shared" si="5"/>
        <v>63</v>
      </c>
      <c r="C53" s="551"/>
      <c r="D53" s="554"/>
      <c r="E53" s="554"/>
      <c r="F53" s="443" t="b">
        <v>1</v>
      </c>
      <c r="G53" t="s">
        <v>2</v>
      </c>
      <c r="H53" s="3" t="s">
        <v>146</v>
      </c>
      <c r="I53" s="548"/>
      <c r="J53" s="548"/>
      <c r="K53" s="564"/>
    </row>
    <row r="54" spans="1:11" ht="3.75" customHeight="1">
      <c r="A54" s="557"/>
      <c r="B54" s="479">
        <f t="shared" si="5"/>
        <v>64</v>
      </c>
      <c r="C54" s="551"/>
      <c r="D54" s="554"/>
      <c r="E54" s="554"/>
      <c r="I54" s="548"/>
      <c r="J54" s="548"/>
      <c r="K54" s="564"/>
    </row>
    <row r="55" spans="1:11">
      <c r="A55" s="557"/>
      <c r="B55" s="479">
        <f t="shared" si="5"/>
        <v>65</v>
      </c>
      <c r="C55" s="551"/>
      <c r="D55" s="554"/>
      <c r="E55" s="554"/>
      <c r="F55" s="463" t="b">
        <v>1</v>
      </c>
      <c r="G55" s="39" t="s">
        <v>147</v>
      </c>
      <c r="H55" s="8" t="s">
        <v>148</v>
      </c>
      <c r="I55" s="548"/>
      <c r="J55" s="548"/>
      <c r="K55" s="564"/>
    </row>
    <row r="56" spans="1:11" ht="3.75" customHeight="1">
      <c r="A56" s="557"/>
      <c r="B56" s="479">
        <f t="shared" si="5"/>
        <v>66</v>
      </c>
      <c r="C56" s="551"/>
      <c r="D56" s="554"/>
      <c r="E56" s="554"/>
      <c r="I56" s="548"/>
      <c r="J56" s="548"/>
      <c r="K56" s="564"/>
    </row>
    <row r="57" spans="1:11" ht="29.45" thickBot="1">
      <c r="A57" s="558"/>
      <c r="B57" s="479">
        <f t="shared" si="5"/>
        <v>67</v>
      </c>
      <c r="C57" s="552"/>
      <c r="D57" s="555"/>
      <c r="E57" s="555"/>
      <c r="F57" s="444" t="b">
        <v>1</v>
      </c>
      <c r="G57" s="91" t="s">
        <v>99</v>
      </c>
      <c r="H57" s="47" t="s">
        <v>149</v>
      </c>
      <c r="I57" s="549"/>
      <c r="J57" s="549"/>
      <c r="K57" s="565"/>
    </row>
    <row r="58" spans="1:11" ht="4.5" customHeight="1" thickBot="1">
      <c r="C58" s="165"/>
      <c r="D58" s="119"/>
      <c r="E58" s="119"/>
      <c r="F58" s="27"/>
      <c r="G58" s="27"/>
      <c r="H58" s="30"/>
      <c r="I58" s="165"/>
      <c r="J58" s="165"/>
      <c r="K58" s="29"/>
    </row>
    <row r="59" spans="1:11" ht="15" customHeight="1">
      <c r="A59" s="556">
        <v>7</v>
      </c>
      <c r="B59" s="478">
        <f>B51+10</f>
        <v>71</v>
      </c>
      <c r="C59" s="550" t="s">
        <v>10</v>
      </c>
      <c r="D59" s="553" t="s">
        <v>159</v>
      </c>
      <c r="E59" s="553" t="s">
        <v>159</v>
      </c>
      <c r="F59" s="442" t="b">
        <v>0</v>
      </c>
      <c r="G59" s="54" t="s">
        <v>143</v>
      </c>
      <c r="H59" s="67" t="s">
        <v>144</v>
      </c>
      <c r="I59" s="547"/>
      <c r="J59" s="547"/>
      <c r="K59" s="563" t="s">
        <v>73</v>
      </c>
    </row>
    <row r="60" spans="1:11" ht="3.75" customHeight="1">
      <c r="A60" s="557"/>
      <c r="B60" s="479">
        <f t="shared" ref="B60:B65" si="6">B59+1</f>
        <v>72</v>
      </c>
      <c r="C60" s="551"/>
      <c r="D60" s="554"/>
      <c r="E60" s="554"/>
      <c r="I60" s="548"/>
      <c r="J60" s="548"/>
      <c r="K60" s="564"/>
    </row>
    <row r="61" spans="1:11">
      <c r="A61" s="557"/>
      <c r="B61" s="479">
        <f t="shared" si="6"/>
        <v>73</v>
      </c>
      <c r="C61" s="551"/>
      <c r="D61" s="554"/>
      <c r="E61" s="554"/>
      <c r="F61" s="443" t="b">
        <v>0</v>
      </c>
      <c r="G61" t="s">
        <v>2</v>
      </c>
      <c r="H61" s="3" t="s">
        <v>146</v>
      </c>
      <c r="I61" s="548"/>
      <c r="J61" s="548"/>
      <c r="K61" s="564"/>
    </row>
    <row r="62" spans="1:11" ht="3.75" customHeight="1">
      <c r="A62" s="557"/>
      <c r="B62" s="479">
        <f t="shared" si="6"/>
        <v>74</v>
      </c>
      <c r="C62" s="551"/>
      <c r="D62" s="554"/>
      <c r="E62" s="554"/>
      <c r="I62" s="548"/>
      <c r="J62" s="548"/>
      <c r="K62" s="564"/>
    </row>
    <row r="63" spans="1:11">
      <c r="A63" s="557"/>
      <c r="B63" s="479">
        <f t="shared" si="6"/>
        <v>75</v>
      </c>
      <c r="C63" s="551"/>
      <c r="D63" s="554"/>
      <c r="E63" s="554"/>
      <c r="F63" s="463" t="b">
        <v>0</v>
      </c>
      <c r="G63" s="39" t="s">
        <v>147</v>
      </c>
      <c r="H63" s="8" t="s">
        <v>148</v>
      </c>
      <c r="I63" s="548"/>
      <c r="J63" s="548"/>
      <c r="K63" s="564"/>
    </row>
    <row r="64" spans="1:11" ht="3.75" customHeight="1">
      <c r="A64" s="557"/>
      <c r="B64" s="479">
        <f t="shared" si="6"/>
        <v>76</v>
      </c>
      <c r="C64" s="551"/>
      <c r="D64" s="554"/>
      <c r="E64" s="554"/>
      <c r="I64" s="548"/>
      <c r="J64" s="548"/>
      <c r="K64" s="564"/>
    </row>
    <row r="65" spans="1:11" ht="29.45" thickBot="1">
      <c r="A65" s="558"/>
      <c r="B65" s="479">
        <f t="shared" si="6"/>
        <v>77</v>
      </c>
      <c r="C65" s="552"/>
      <c r="D65" s="555"/>
      <c r="E65" s="555"/>
      <c r="F65" s="444" t="b">
        <v>0</v>
      </c>
      <c r="G65" s="91" t="s">
        <v>99</v>
      </c>
      <c r="H65" s="47" t="s">
        <v>149</v>
      </c>
      <c r="I65" s="549"/>
      <c r="J65" s="549"/>
      <c r="K65" s="565"/>
    </row>
    <row r="66" spans="1:11" ht="4.5" customHeight="1" thickBot="1">
      <c r="C66" s="165"/>
      <c r="D66" s="119"/>
      <c r="E66" s="119"/>
      <c r="F66" s="27"/>
      <c r="G66" s="27"/>
      <c r="H66" s="30"/>
      <c r="I66" s="165"/>
      <c r="J66" s="165"/>
      <c r="K66" s="29"/>
    </row>
    <row r="67" spans="1:11" ht="15" customHeight="1">
      <c r="A67" s="556">
        <v>8</v>
      </c>
      <c r="B67" s="478">
        <f>B59+10</f>
        <v>81</v>
      </c>
      <c r="C67" s="550" t="s">
        <v>58</v>
      </c>
      <c r="D67" s="553" t="s">
        <v>153</v>
      </c>
      <c r="E67" s="553" t="s">
        <v>153</v>
      </c>
      <c r="F67" s="442" t="b">
        <v>1</v>
      </c>
      <c r="G67" s="54" t="s">
        <v>143</v>
      </c>
      <c r="H67" s="67" t="s">
        <v>144</v>
      </c>
      <c r="I67" s="547" t="s">
        <v>160</v>
      </c>
      <c r="J67" s="547"/>
      <c r="K67" s="563" t="s">
        <v>73</v>
      </c>
    </row>
    <row r="68" spans="1:11" ht="3.75" customHeight="1">
      <c r="A68" s="557"/>
      <c r="B68" s="479">
        <f t="shared" ref="B68:B73" si="7">B67+1</f>
        <v>82</v>
      </c>
      <c r="C68" s="551"/>
      <c r="D68" s="554"/>
      <c r="E68" s="554"/>
      <c r="I68" s="548"/>
      <c r="J68" s="548"/>
      <c r="K68" s="564"/>
    </row>
    <row r="69" spans="1:11">
      <c r="A69" s="557"/>
      <c r="B69" s="479">
        <f t="shared" si="7"/>
        <v>83</v>
      </c>
      <c r="C69" s="551"/>
      <c r="D69" s="554"/>
      <c r="E69" s="554"/>
      <c r="F69" s="443" t="b">
        <v>1</v>
      </c>
      <c r="G69" t="s">
        <v>2</v>
      </c>
      <c r="H69" s="3" t="s">
        <v>146</v>
      </c>
      <c r="I69" s="548"/>
      <c r="J69" s="548"/>
      <c r="K69" s="564"/>
    </row>
    <row r="70" spans="1:11" ht="3.75" customHeight="1">
      <c r="A70" s="557"/>
      <c r="B70" s="479">
        <f t="shared" si="7"/>
        <v>84</v>
      </c>
      <c r="C70" s="551"/>
      <c r="D70" s="554"/>
      <c r="E70" s="554"/>
      <c r="I70" s="548"/>
      <c r="J70" s="548"/>
      <c r="K70" s="564"/>
    </row>
    <row r="71" spans="1:11">
      <c r="A71" s="557"/>
      <c r="B71" s="479">
        <f t="shared" si="7"/>
        <v>85</v>
      </c>
      <c r="C71" s="551"/>
      <c r="D71" s="554"/>
      <c r="E71" s="554"/>
      <c r="F71" s="463" t="b">
        <v>1</v>
      </c>
      <c r="G71" s="39" t="s">
        <v>147</v>
      </c>
      <c r="H71" s="8" t="s">
        <v>148</v>
      </c>
      <c r="I71" s="548"/>
      <c r="J71" s="548"/>
      <c r="K71" s="564"/>
    </row>
    <row r="72" spans="1:11" ht="3.75" customHeight="1">
      <c r="A72" s="557"/>
      <c r="B72" s="479">
        <f t="shared" si="7"/>
        <v>86</v>
      </c>
      <c r="C72" s="551"/>
      <c r="D72" s="554"/>
      <c r="E72" s="554"/>
      <c r="I72" s="548"/>
      <c r="J72" s="548"/>
      <c r="K72" s="564"/>
    </row>
    <row r="73" spans="1:11" ht="29.45" thickBot="1">
      <c r="A73" s="558"/>
      <c r="B73" s="479">
        <f t="shared" si="7"/>
        <v>87</v>
      </c>
      <c r="C73" s="552"/>
      <c r="D73" s="555"/>
      <c r="E73" s="555"/>
      <c r="F73" s="444" t="b">
        <v>1</v>
      </c>
      <c r="G73" s="91" t="s">
        <v>99</v>
      </c>
      <c r="H73" s="47" t="s">
        <v>149</v>
      </c>
      <c r="I73" s="549"/>
      <c r="J73" s="549"/>
      <c r="K73" s="565"/>
    </row>
    <row r="74" spans="1:11" ht="4.5" customHeight="1" thickBot="1">
      <c r="C74" s="165"/>
      <c r="D74" s="119"/>
      <c r="E74" s="119"/>
      <c r="F74" s="27"/>
      <c r="G74" s="27"/>
      <c r="H74" s="30"/>
      <c r="I74" s="165"/>
      <c r="J74" s="165"/>
      <c r="K74" s="29"/>
    </row>
    <row r="75" spans="1:11" ht="15" customHeight="1">
      <c r="A75" s="556">
        <f>A67+1</f>
        <v>9</v>
      </c>
      <c r="B75" s="478">
        <f>B67+10</f>
        <v>91</v>
      </c>
      <c r="C75" s="550" t="s">
        <v>58</v>
      </c>
      <c r="D75" s="553" t="s">
        <v>155</v>
      </c>
      <c r="E75" s="553" t="s">
        <v>155</v>
      </c>
      <c r="F75" s="442" t="b">
        <v>1</v>
      </c>
      <c r="G75" s="54" t="s">
        <v>143</v>
      </c>
      <c r="H75" s="67" t="s">
        <v>144</v>
      </c>
      <c r="I75" s="547" t="s">
        <v>161</v>
      </c>
      <c r="J75" s="547"/>
      <c r="K75" s="563" t="s">
        <v>73</v>
      </c>
    </row>
    <row r="76" spans="1:11" ht="3.75" customHeight="1">
      <c r="A76" s="557"/>
      <c r="B76" s="479">
        <f t="shared" ref="B76:B81" si="8">B75+1</f>
        <v>92</v>
      </c>
      <c r="C76" s="551"/>
      <c r="D76" s="554"/>
      <c r="E76" s="554"/>
      <c r="I76" s="548"/>
      <c r="J76" s="548"/>
      <c r="K76" s="564"/>
    </row>
    <row r="77" spans="1:11">
      <c r="A77" s="557"/>
      <c r="B77" s="479">
        <f t="shared" si="8"/>
        <v>93</v>
      </c>
      <c r="C77" s="551"/>
      <c r="D77" s="554"/>
      <c r="E77" s="554"/>
      <c r="F77" s="443" t="b">
        <v>1</v>
      </c>
      <c r="G77" t="s">
        <v>2</v>
      </c>
      <c r="H77" s="3" t="s">
        <v>146</v>
      </c>
      <c r="I77" s="548"/>
      <c r="J77" s="548"/>
      <c r="K77" s="564"/>
    </row>
    <row r="78" spans="1:11" ht="3.75" customHeight="1">
      <c r="A78" s="557"/>
      <c r="B78" s="479">
        <f t="shared" si="8"/>
        <v>94</v>
      </c>
      <c r="C78" s="551"/>
      <c r="D78" s="554"/>
      <c r="E78" s="554"/>
      <c r="I78" s="548"/>
      <c r="J78" s="548"/>
      <c r="K78" s="564"/>
    </row>
    <row r="79" spans="1:11">
      <c r="A79" s="557"/>
      <c r="B79" s="479">
        <f t="shared" si="8"/>
        <v>95</v>
      </c>
      <c r="C79" s="551"/>
      <c r="D79" s="554"/>
      <c r="E79" s="554"/>
      <c r="F79" s="463" t="b">
        <v>1</v>
      </c>
      <c r="G79" s="39" t="s">
        <v>147</v>
      </c>
      <c r="H79" s="8" t="s">
        <v>148</v>
      </c>
      <c r="I79" s="548"/>
      <c r="J79" s="548"/>
      <c r="K79" s="564"/>
    </row>
    <row r="80" spans="1:11" ht="3.75" customHeight="1">
      <c r="A80" s="557"/>
      <c r="B80" s="479">
        <f t="shared" si="8"/>
        <v>96</v>
      </c>
      <c r="C80" s="551"/>
      <c r="D80" s="554"/>
      <c r="E80" s="554"/>
      <c r="I80" s="548"/>
      <c r="J80" s="548"/>
      <c r="K80" s="564"/>
    </row>
    <row r="81" spans="1:11" ht="29.45" thickBot="1">
      <c r="A81" s="558"/>
      <c r="B81" s="479">
        <f t="shared" si="8"/>
        <v>97</v>
      </c>
      <c r="C81" s="552"/>
      <c r="D81" s="555"/>
      <c r="E81" s="555"/>
      <c r="F81" s="444" t="b">
        <v>1</v>
      </c>
      <c r="G81" s="91" t="s">
        <v>99</v>
      </c>
      <c r="H81" s="47" t="s">
        <v>149</v>
      </c>
      <c r="I81" s="549"/>
      <c r="J81" s="549"/>
      <c r="K81" s="565"/>
    </row>
    <row r="82" spans="1:11" ht="4.5" customHeight="1" thickBot="1">
      <c r="C82" s="165"/>
      <c r="D82" s="119"/>
      <c r="E82" s="119"/>
      <c r="F82" s="27"/>
      <c r="G82" s="27"/>
      <c r="H82" s="30"/>
      <c r="I82" s="165"/>
      <c r="J82" s="165"/>
      <c r="K82" s="29"/>
    </row>
    <row r="83" spans="1:11" ht="15" customHeight="1">
      <c r="A83" s="556">
        <f>A75+1</f>
        <v>10</v>
      </c>
      <c r="B83" s="478">
        <f>B75+10</f>
        <v>101</v>
      </c>
      <c r="C83" s="550" t="s">
        <v>58</v>
      </c>
      <c r="D83" s="553" t="s">
        <v>157</v>
      </c>
      <c r="E83" s="553" t="s">
        <v>157</v>
      </c>
      <c r="F83" s="442" t="b">
        <v>1</v>
      </c>
      <c r="G83" s="54" t="s">
        <v>143</v>
      </c>
      <c r="H83" s="67" t="s">
        <v>144</v>
      </c>
      <c r="I83" s="547" t="s">
        <v>162</v>
      </c>
      <c r="J83" s="547"/>
      <c r="K83" s="563" t="s">
        <v>73</v>
      </c>
    </row>
    <row r="84" spans="1:11" ht="3.75" customHeight="1">
      <c r="A84" s="557"/>
      <c r="B84" s="479">
        <f t="shared" ref="B84:B89" si="9">B83+1</f>
        <v>102</v>
      </c>
      <c r="C84" s="551"/>
      <c r="D84" s="554"/>
      <c r="E84" s="554"/>
      <c r="I84" s="548"/>
      <c r="J84" s="548"/>
      <c r="K84" s="564"/>
    </row>
    <row r="85" spans="1:11">
      <c r="A85" s="557"/>
      <c r="B85" s="479">
        <f t="shared" si="9"/>
        <v>103</v>
      </c>
      <c r="C85" s="551"/>
      <c r="D85" s="554"/>
      <c r="E85" s="554"/>
      <c r="F85" s="443" t="b">
        <v>1</v>
      </c>
      <c r="G85" t="s">
        <v>2</v>
      </c>
      <c r="H85" s="3" t="s">
        <v>146</v>
      </c>
      <c r="I85" s="548"/>
      <c r="J85" s="548"/>
      <c r="K85" s="564"/>
    </row>
    <row r="86" spans="1:11" ht="3.75" customHeight="1">
      <c r="A86" s="557"/>
      <c r="B86" s="479">
        <f t="shared" si="9"/>
        <v>104</v>
      </c>
      <c r="C86" s="551"/>
      <c r="D86" s="554"/>
      <c r="E86" s="554"/>
      <c r="I86" s="548"/>
      <c r="J86" s="548"/>
      <c r="K86" s="564"/>
    </row>
    <row r="87" spans="1:11">
      <c r="A87" s="557"/>
      <c r="B87" s="479">
        <f t="shared" si="9"/>
        <v>105</v>
      </c>
      <c r="C87" s="551"/>
      <c r="D87" s="554"/>
      <c r="E87" s="554"/>
      <c r="F87" s="463" t="b">
        <v>1</v>
      </c>
      <c r="G87" s="39" t="s">
        <v>147</v>
      </c>
      <c r="H87" s="8" t="s">
        <v>148</v>
      </c>
      <c r="I87" s="548"/>
      <c r="J87" s="548"/>
      <c r="K87" s="564"/>
    </row>
    <row r="88" spans="1:11" ht="3.75" customHeight="1">
      <c r="A88" s="557"/>
      <c r="B88" s="479">
        <f t="shared" si="9"/>
        <v>106</v>
      </c>
      <c r="C88" s="551"/>
      <c r="D88" s="554"/>
      <c r="E88" s="554"/>
      <c r="I88" s="548"/>
      <c r="J88" s="548"/>
      <c r="K88" s="564"/>
    </row>
    <row r="89" spans="1:11" ht="29.45" thickBot="1">
      <c r="A89" s="558"/>
      <c r="B89" s="479">
        <f t="shared" si="9"/>
        <v>107</v>
      </c>
      <c r="C89" s="552"/>
      <c r="D89" s="555"/>
      <c r="E89" s="555"/>
      <c r="F89" s="444" t="b">
        <v>1</v>
      </c>
      <c r="G89" s="91" t="s">
        <v>99</v>
      </c>
      <c r="H89" s="47" t="s">
        <v>149</v>
      </c>
      <c r="I89" s="549"/>
      <c r="J89" s="549"/>
      <c r="K89" s="565"/>
    </row>
    <row r="90" spans="1:11" ht="4.5" customHeight="1" thickBot="1">
      <c r="C90" s="165"/>
      <c r="D90" s="119"/>
      <c r="E90" s="119"/>
      <c r="F90" s="27"/>
      <c r="G90" s="27"/>
      <c r="H90" s="30"/>
      <c r="I90" s="165"/>
      <c r="J90" s="165"/>
      <c r="K90" s="29"/>
    </row>
    <row r="91" spans="1:11" ht="15" customHeight="1">
      <c r="A91" s="556">
        <f>A83+1</f>
        <v>11</v>
      </c>
      <c r="B91" s="478">
        <f>B83+10</f>
        <v>111</v>
      </c>
      <c r="C91" s="550"/>
      <c r="D91" s="553"/>
      <c r="E91" s="553"/>
      <c r="F91" s="442" t="b">
        <v>0</v>
      </c>
      <c r="G91" s="54" t="s">
        <v>143</v>
      </c>
      <c r="H91" s="67" t="s">
        <v>144</v>
      </c>
      <c r="I91" s="547"/>
      <c r="J91" s="547"/>
      <c r="K91" s="563"/>
    </row>
    <row r="92" spans="1:11" ht="3.75" customHeight="1">
      <c r="A92" s="557"/>
      <c r="B92" s="479">
        <f t="shared" ref="B92:B97" si="10">B91+1</f>
        <v>112</v>
      </c>
      <c r="C92" s="551"/>
      <c r="D92" s="554"/>
      <c r="E92" s="554"/>
      <c r="I92" s="548"/>
      <c r="J92" s="548"/>
      <c r="K92" s="564"/>
    </row>
    <row r="93" spans="1:11">
      <c r="A93" s="557"/>
      <c r="B93" s="479">
        <f t="shared" si="10"/>
        <v>113</v>
      </c>
      <c r="C93" s="551"/>
      <c r="D93" s="554"/>
      <c r="E93" s="554"/>
      <c r="F93" s="443" t="b">
        <v>0</v>
      </c>
      <c r="G93" t="s">
        <v>2</v>
      </c>
      <c r="H93" s="3" t="s">
        <v>146</v>
      </c>
      <c r="I93" s="548"/>
      <c r="J93" s="548"/>
      <c r="K93" s="564"/>
    </row>
    <row r="94" spans="1:11" ht="3.75" customHeight="1">
      <c r="A94" s="557"/>
      <c r="B94" s="479">
        <f t="shared" si="10"/>
        <v>114</v>
      </c>
      <c r="C94" s="551"/>
      <c r="D94" s="554"/>
      <c r="E94" s="554"/>
      <c r="I94" s="548"/>
      <c r="J94" s="548"/>
      <c r="K94" s="564"/>
    </row>
    <row r="95" spans="1:11">
      <c r="A95" s="557"/>
      <c r="B95" s="479">
        <f t="shared" si="10"/>
        <v>115</v>
      </c>
      <c r="C95" s="551"/>
      <c r="D95" s="554"/>
      <c r="E95" s="554"/>
      <c r="F95" s="463" t="b">
        <v>0</v>
      </c>
      <c r="G95" s="39" t="s">
        <v>147</v>
      </c>
      <c r="H95" s="8" t="s">
        <v>148</v>
      </c>
      <c r="I95" s="548"/>
      <c r="J95" s="548"/>
      <c r="K95" s="564"/>
    </row>
    <row r="96" spans="1:11" ht="3.75" customHeight="1">
      <c r="A96" s="557"/>
      <c r="B96" s="479">
        <f t="shared" si="10"/>
        <v>116</v>
      </c>
      <c r="C96" s="551"/>
      <c r="D96" s="554"/>
      <c r="E96" s="554"/>
      <c r="I96" s="548"/>
      <c r="J96" s="548"/>
      <c r="K96" s="564"/>
    </row>
    <row r="97" spans="1:11" ht="29.45" thickBot="1">
      <c r="A97" s="558"/>
      <c r="B97" s="479">
        <f t="shared" si="10"/>
        <v>117</v>
      </c>
      <c r="C97" s="552"/>
      <c r="D97" s="555"/>
      <c r="E97" s="555"/>
      <c r="F97" s="444" t="b">
        <v>0</v>
      </c>
      <c r="G97" s="91" t="s">
        <v>99</v>
      </c>
      <c r="H97" s="47" t="s">
        <v>149</v>
      </c>
      <c r="I97" s="549"/>
      <c r="J97" s="549"/>
      <c r="K97" s="565"/>
    </row>
    <row r="98" spans="1:11" ht="4.5" customHeight="1" thickBot="1">
      <c r="C98" s="165"/>
      <c r="D98" s="119"/>
      <c r="E98" s="119"/>
      <c r="F98" s="27"/>
      <c r="G98" s="27"/>
      <c r="H98" s="30"/>
      <c r="I98" s="165"/>
      <c r="J98" s="165"/>
      <c r="K98" s="29"/>
    </row>
    <row r="99" spans="1:11" ht="15" customHeight="1">
      <c r="A99" s="556">
        <f>A91+1</f>
        <v>12</v>
      </c>
      <c r="B99" s="478">
        <f>B91+10</f>
        <v>121</v>
      </c>
      <c r="C99" s="550"/>
      <c r="D99" s="553"/>
      <c r="E99" s="553"/>
      <c r="F99" s="442" t="b">
        <v>0</v>
      </c>
      <c r="G99" s="54" t="s">
        <v>143</v>
      </c>
      <c r="H99" s="67" t="s">
        <v>144</v>
      </c>
      <c r="I99" s="547"/>
      <c r="J99" s="547"/>
      <c r="K99" s="563"/>
    </row>
    <row r="100" spans="1:11" ht="3.75" customHeight="1">
      <c r="A100" s="557"/>
      <c r="B100" s="479">
        <f t="shared" ref="B100:B105" si="11">B99+1</f>
        <v>122</v>
      </c>
      <c r="C100" s="551"/>
      <c r="D100" s="554"/>
      <c r="E100" s="554"/>
      <c r="I100" s="548"/>
      <c r="J100" s="548"/>
      <c r="K100" s="564"/>
    </row>
    <row r="101" spans="1:11">
      <c r="A101" s="557"/>
      <c r="B101" s="479">
        <f t="shared" si="11"/>
        <v>123</v>
      </c>
      <c r="C101" s="551"/>
      <c r="D101" s="554"/>
      <c r="E101" s="554"/>
      <c r="F101" s="443" t="b">
        <v>0</v>
      </c>
      <c r="G101" t="s">
        <v>2</v>
      </c>
      <c r="H101" s="3" t="s">
        <v>146</v>
      </c>
      <c r="I101" s="548"/>
      <c r="J101" s="548"/>
      <c r="K101" s="564"/>
    </row>
    <row r="102" spans="1:11" ht="3.75" customHeight="1">
      <c r="A102" s="557"/>
      <c r="B102" s="479">
        <f t="shared" si="11"/>
        <v>124</v>
      </c>
      <c r="C102" s="551"/>
      <c r="D102" s="554"/>
      <c r="E102" s="554"/>
      <c r="I102" s="548"/>
      <c r="J102" s="548"/>
      <c r="K102" s="564"/>
    </row>
    <row r="103" spans="1:11">
      <c r="A103" s="557"/>
      <c r="B103" s="479">
        <f t="shared" si="11"/>
        <v>125</v>
      </c>
      <c r="C103" s="551"/>
      <c r="D103" s="554"/>
      <c r="E103" s="554"/>
      <c r="F103" s="463" t="b">
        <v>0</v>
      </c>
      <c r="G103" s="39" t="s">
        <v>147</v>
      </c>
      <c r="H103" s="8" t="s">
        <v>148</v>
      </c>
      <c r="I103" s="548"/>
      <c r="J103" s="548"/>
      <c r="K103" s="564"/>
    </row>
    <row r="104" spans="1:11" ht="3.75" customHeight="1">
      <c r="A104" s="557"/>
      <c r="B104" s="479">
        <f t="shared" si="11"/>
        <v>126</v>
      </c>
      <c r="C104" s="551"/>
      <c r="D104" s="554"/>
      <c r="E104" s="554"/>
      <c r="I104" s="548"/>
      <c r="J104" s="548"/>
      <c r="K104" s="564"/>
    </row>
    <row r="105" spans="1:11" ht="29.45" thickBot="1">
      <c r="A105" s="558"/>
      <c r="B105" s="479">
        <f t="shared" si="11"/>
        <v>127</v>
      </c>
      <c r="C105" s="552"/>
      <c r="D105" s="555"/>
      <c r="E105" s="555"/>
      <c r="F105" s="444" t="b">
        <v>0</v>
      </c>
      <c r="G105" s="91" t="s">
        <v>99</v>
      </c>
      <c r="H105" s="47" t="s">
        <v>149</v>
      </c>
      <c r="I105" s="549"/>
      <c r="J105" s="549"/>
      <c r="K105" s="565"/>
    </row>
    <row r="106" spans="1:11" ht="4.5" customHeight="1" thickBot="1">
      <c r="C106" s="165"/>
      <c r="D106" s="119"/>
      <c r="E106" s="119"/>
      <c r="F106" s="27"/>
      <c r="G106" s="27"/>
      <c r="H106" s="30"/>
      <c r="I106" s="165"/>
      <c r="J106" s="165"/>
      <c r="K106" s="29"/>
    </row>
    <row r="107" spans="1:11" ht="15" customHeight="1">
      <c r="A107" s="556">
        <f>A99+1</f>
        <v>13</v>
      </c>
      <c r="B107" s="478">
        <f>B99+10</f>
        <v>131</v>
      </c>
      <c r="C107" s="550"/>
      <c r="D107" s="553"/>
      <c r="E107" s="553"/>
      <c r="F107" s="442" t="b">
        <v>0</v>
      </c>
      <c r="G107" s="54" t="s">
        <v>143</v>
      </c>
      <c r="H107" s="67" t="s">
        <v>144</v>
      </c>
      <c r="I107" s="547"/>
      <c r="J107" s="547"/>
      <c r="K107" s="563"/>
    </row>
    <row r="108" spans="1:11" ht="3.75" customHeight="1">
      <c r="A108" s="557"/>
      <c r="B108" s="479">
        <f t="shared" ref="B108:B113" si="12">B107+1</f>
        <v>132</v>
      </c>
      <c r="C108" s="551"/>
      <c r="D108" s="554"/>
      <c r="E108" s="554"/>
      <c r="I108" s="548"/>
      <c r="J108" s="548"/>
      <c r="K108" s="564"/>
    </row>
    <row r="109" spans="1:11">
      <c r="A109" s="557"/>
      <c r="B109" s="479">
        <f t="shared" si="12"/>
        <v>133</v>
      </c>
      <c r="C109" s="551"/>
      <c r="D109" s="554"/>
      <c r="E109" s="554"/>
      <c r="F109" s="443" t="b">
        <v>0</v>
      </c>
      <c r="G109" t="s">
        <v>2</v>
      </c>
      <c r="H109" s="3" t="s">
        <v>146</v>
      </c>
      <c r="I109" s="548"/>
      <c r="J109" s="548"/>
      <c r="K109" s="564"/>
    </row>
    <row r="110" spans="1:11" ht="3.75" customHeight="1">
      <c r="A110" s="557"/>
      <c r="B110" s="479">
        <f t="shared" si="12"/>
        <v>134</v>
      </c>
      <c r="C110" s="551"/>
      <c r="D110" s="554"/>
      <c r="E110" s="554"/>
      <c r="I110" s="548"/>
      <c r="J110" s="548"/>
      <c r="K110" s="564"/>
    </row>
    <row r="111" spans="1:11">
      <c r="A111" s="557"/>
      <c r="B111" s="479">
        <f t="shared" si="12"/>
        <v>135</v>
      </c>
      <c r="C111" s="551"/>
      <c r="D111" s="554"/>
      <c r="E111" s="554"/>
      <c r="F111" s="463" t="b">
        <v>0</v>
      </c>
      <c r="G111" s="39" t="s">
        <v>147</v>
      </c>
      <c r="H111" s="8" t="s">
        <v>148</v>
      </c>
      <c r="I111" s="548"/>
      <c r="J111" s="548"/>
      <c r="K111" s="564"/>
    </row>
    <row r="112" spans="1:11" ht="3.75" customHeight="1">
      <c r="A112" s="557"/>
      <c r="B112" s="479">
        <f t="shared" si="12"/>
        <v>136</v>
      </c>
      <c r="C112" s="551"/>
      <c r="D112" s="554"/>
      <c r="E112" s="554"/>
      <c r="I112" s="548"/>
      <c r="J112" s="548"/>
      <c r="K112" s="564"/>
    </row>
    <row r="113" spans="1:11" ht="29.45" thickBot="1">
      <c r="A113" s="558"/>
      <c r="B113" s="479">
        <f t="shared" si="12"/>
        <v>137</v>
      </c>
      <c r="C113" s="552"/>
      <c r="D113" s="555"/>
      <c r="E113" s="555"/>
      <c r="F113" s="444" t="b">
        <v>0</v>
      </c>
      <c r="G113" s="91" t="s">
        <v>99</v>
      </c>
      <c r="H113" s="47" t="s">
        <v>149</v>
      </c>
      <c r="I113" s="549"/>
      <c r="J113" s="549"/>
      <c r="K113" s="565"/>
    </row>
    <row r="114" spans="1:11" ht="4.5" customHeight="1" thickBot="1">
      <c r="C114" s="165"/>
      <c r="D114" s="119"/>
      <c r="E114" s="119"/>
      <c r="F114" s="27"/>
      <c r="G114" s="27"/>
      <c r="H114" s="30"/>
      <c r="I114" s="165"/>
      <c r="J114" s="165"/>
      <c r="K114" s="29"/>
    </row>
    <row r="115" spans="1:11" ht="15" customHeight="1">
      <c r="A115" s="556">
        <f>A107+1</f>
        <v>14</v>
      </c>
      <c r="B115" s="478">
        <f>B107+10</f>
        <v>141</v>
      </c>
      <c r="C115" s="550"/>
      <c r="D115" s="553"/>
      <c r="E115" s="553"/>
      <c r="F115" s="442" t="b">
        <v>0</v>
      </c>
      <c r="G115" s="54" t="s">
        <v>143</v>
      </c>
      <c r="H115" s="67" t="s">
        <v>144</v>
      </c>
      <c r="I115" s="547"/>
      <c r="J115" s="547"/>
      <c r="K115" s="563"/>
    </row>
    <row r="116" spans="1:11" ht="3.75" customHeight="1">
      <c r="A116" s="557"/>
      <c r="B116" s="479">
        <f t="shared" ref="B116:B121" si="13">B115+1</f>
        <v>142</v>
      </c>
      <c r="C116" s="551"/>
      <c r="D116" s="554"/>
      <c r="E116" s="554"/>
      <c r="I116" s="548"/>
      <c r="J116" s="548"/>
      <c r="K116" s="564"/>
    </row>
    <row r="117" spans="1:11">
      <c r="A117" s="557"/>
      <c r="B117" s="479">
        <f t="shared" si="13"/>
        <v>143</v>
      </c>
      <c r="C117" s="551"/>
      <c r="D117" s="554"/>
      <c r="E117" s="554"/>
      <c r="F117" s="443" t="b">
        <v>0</v>
      </c>
      <c r="G117" t="s">
        <v>2</v>
      </c>
      <c r="H117" s="3" t="s">
        <v>146</v>
      </c>
      <c r="I117" s="548"/>
      <c r="J117" s="548"/>
      <c r="K117" s="564"/>
    </row>
    <row r="118" spans="1:11" ht="3.75" customHeight="1">
      <c r="A118" s="557"/>
      <c r="B118" s="479">
        <f t="shared" si="13"/>
        <v>144</v>
      </c>
      <c r="C118" s="551"/>
      <c r="D118" s="554"/>
      <c r="E118" s="554"/>
      <c r="I118" s="548"/>
      <c r="J118" s="548"/>
      <c r="K118" s="564"/>
    </row>
    <row r="119" spans="1:11">
      <c r="A119" s="557"/>
      <c r="B119" s="479">
        <f t="shared" si="13"/>
        <v>145</v>
      </c>
      <c r="C119" s="551"/>
      <c r="D119" s="554"/>
      <c r="E119" s="554"/>
      <c r="F119" s="463" t="b">
        <v>0</v>
      </c>
      <c r="G119" s="39" t="s">
        <v>147</v>
      </c>
      <c r="H119" s="8" t="s">
        <v>148</v>
      </c>
      <c r="I119" s="548"/>
      <c r="J119" s="548"/>
      <c r="K119" s="564"/>
    </row>
    <row r="120" spans="1:11" ht="3.75" customHeight="1">
      <c r="A120" s="557"/>
      <c r="B120" s="479">
        <f t="shared" si="13"/>
        <v>146</v>
      </c>
      <c r="C120" s="551"/>
      <c r="D120" s="554"/>
      <c r="E120" s="554"/>
      <c r="I120" s="548"/>
      <c r="J120" s="548"/>
      <c r="K120" s="564"/>
    </row>
    <row r="121" spans="1:11" ht="29.45" thickBot="1">
      <c r="A121" s="558"/>
      <c r="B121" s="479">
        <f t="shared" si="13"/>
        <v>147</v>
      </c>
      <c r="C121" s="552"/>
      <c r="D121" s="555"/>
      <c r="E121" s="555"/>
      <c r="F121" s="444" t="b">
        <v>0</v>
      </c>
      <c r="G121" s="91" t="s">
        <v>99</v>
      </c>
      <c r="H121" s="47" t="s">
        <v>149</v>
      </c>
      <c r="I121" s="549"/>
      <c r="J121" s="549"/>
      <c r="K121" s="565"/>
    </row>
    <row r="122" spans="1:11" ht="4.5" customHeight="1" thickBot="1">
      <c r="C122" s="165"/>
      <c r="D122" s="119"/>
      <c r="E122" s="119"/>
      <c r="F122" s="27"/>
      <c r="G122" s="27"/>
      <c r="H122" s="30"/>
      <c r="I122" s="165"/>
      <c r="J122" s="165"/>
      <c r="K122" s="29"/>
    </row>
    <row r="123" spans="1:11" ht="15" customHeight="1">
      <c r="A123" s="556">
        <f>A115+1</f>
        <v>15</v>
      </c>
      <c r="B123" s="478">
        <f>B115+10</f>
        <v>151</v>
      </c>
      <c r="C123" s="550"/>
      <c r="D123" s="553"/>
      <c r="E123" s="553"/>
      <c r="F123" s="442" t="b">
        <v>0</v>
      </c>
      <c r="G123" s="54" t="s">
        <v>143</v>
      </c>
      <c r="H123" s="67" t="s">
        <v>144</v>
      </c>
      <c r="I123" s="547"/>
      <c r="J123" s="547"/>
      <c r="K123" s="563"/>
    </row>
    <row r="124" spans="1:11" ht="3.75" customHeight="1">
      <c r="A124" s="557"/>
      <c r="B124" s="479">
        <f t="shared" ref="B124:B129" si="14">B123+1</f>
        <v>152</v>
      </c>
      <c r="C124" s="551"/>
      <c r="D124" s="554"/>
      <c r="E124" s="554"/>
      <c r="I124" s="548"/>
      <c r="J124" s="548"/>
      <c r="K124" s="564"/>
    </row>
    <row r="125" spans="1:11">
      <c r="A125" s="557"/>
      <c r="B125" s="479">
        <f t="shared" si="14"/>
        <v>153</v>
      </c>
      <c r="C125" s="551"/>
      <c r="D125" s="554"/>
      <c r="E125" s="554"/>
      <c r="F125" s="443" t="b">
        <v>0</v>
      </c>
      <c r="G125" t="s">
        <v>2</v>
      </c>
      <c r="H125" s="3" t="s">
        <v>146</v>
      </c>
      <c r="I125" s="548"/>
      <c r="J125" s="548"/>
      <c r="K125" s="564"/>
    </row>
    <row r="126" spans="1:11" ht="3.75" customHeight="1">
      <c r="A126" s="557"/>
      <c r="B126" s="479">
        <f t="shared" si="14"/>
        <v>154</v>
      </c>
      <c r="C126" s="551"/>
      <c r="D126" s="554"/>
      <c r="E126" s="554"/>
      <c r="I126" s="548"/>
      <c r="J126" s="548"/>
      <c r="K126" s="564"/>
    </row>
    <row r="127" spans="1:11">
      <c r="A127" s="557"/>
      <c r="B127" s="479">
        <f t="shared" si="14"/>
        <v>155</v>
      </c>
      <c r="C127" s="551"/>
      <c r="D127" s="554"/>
      <c r="E127" s="554"/>
      <c r="F127" s="463" t="b">
        <v>0</v>
      </c>
      <c r="G127" s="39" t="s">
        <v>147</v>
      </c>
      <c r="H127" s="8" t="s">
        <v>148</v>
      </c>
      <c r="I127" s="548"/>
      <c r="J127" s="548"/>
      <c r="K127" s="564"/>
    </row>
    <row r="128" spans="1:11" ht="3.75" customHeight="1">
      <c r="A128" s="557"/>
      <c r="B128" s="479">
        <f t="shared" si="14"/>
        <v>156</v>
      </c>
      <c r="C128" s="551"/>
      <c r="D128" s="554"/>
      <c r="E128" s="554"/>
      <c r="I128" s="548"/>
      <c r="J128" s="548"/>
      <c r="K128" s="564"/>
    </row>
    <row r="129" spans="1:11" ht="29.45" thickBot="1">
      <c r="A129" s="558"/>
      <c r="B129" s="479">
        <f t="shared" si="14"/>
        <v>157</v>
      </c>
      <c r="C129" s="552"/>
      <c r="D129" s="555"/>
      <c r="E129" s="555"/>
      <c r="F129" s="444" t="b">
        <v>0</v>
      </c>
      <c r="G129" s="91" t="s">
        <v>99</v>
      </c>
      <c r="H129" s="47" t="s">
        <v>149</v>
      </c>
      <c r="I129" s="549"/>
      <c r="J129" s="549"/>
      <c r="K129" s="565"/>
    </row>
    <row r="130" spans="1:11" ht="4.5" customHeight="1" thickBot="1">
      <c r="C130" s="165"/>
      <c r="D130" s="119"/>
      <c r="E130" s="119"/>
      <c r="F130" s="27"/>
      <c r="G130" s="27"/>
      <c r="H130" s="30"/>
      <c r="I130" s="165"/>
      <c r="J130" s="165"/>
      <c r="K130" s="29"/>
    </row>
    <row r="131" spans="1:11" ht="15" customHeight="1">
      <c r="A131" s="556">
        <f>A123+1</f>
        <v>16</v>
      </c>
      <c r="B131" s="478">
        <f>B123+10</f>
        <v>161</v>
      </c>
      <c r="C131" s="550"/>
      <c r="D131" s="553"/>
      <c r="E131" s="553"/>
      <c r="F131" s="442" t="b">
        <v>0</v>
      </c>
      <c r="G131" s="54" t="s">
        <v>143</v>
      </c>
      <c r="H131" s="67" t="s">
        <v>144</v>
      </c>
      <c r="I131" s="547"/>
      <c r="J131" s="547"/>
      <c r="K131" s="563"/>
    </row>
    <row r="132" spans="1:11" ht="3.75" customHeight="1">
      <c r="A132" s="557"/>
      <c r="B132" s="479">
        <f t="shared" ref="B132:B137" si="15">B131+1</f>
        <v>162</v>
      </c>
      <c r="C132" s="551"/>
      <c r="D132" s="554"/>
      <c r="E132" s="554"/>
      <c r="I132" s="548"/>
      <c r="J132" s="548"/>
      <c r="K132" s="564"/>
    </row>
    <row r="133" spans="1:11">
      <c r="A133" s="557"/>
      <c r="B133" s="479">
        <f t="shared" si="15"/>
        <v>163</v>
      </c>
      <c r="C133" s="551"/>
      <c r="D133" s="554"/>
      <c r="E133" s="554"/>
      <c r="F133" s="443" t="b">
        <v>0</v>
      </c>
      <c r="G133" t="s">
        <v>2</v>
      </c>
      <c r="H133" s="3" t="s">
        <v>146</v>
      </c>
      <c r="I133" s="548"/>
      <c r="J133" s="548"/>
      <c r="K133" s="564"/>
    </row>
    <row r="134" spans="1:11" ht="3.75" customHeight="1">
      <c r="A134" s="557"/>
      <c r="B134" s="479">
        <f t="shared" si="15"/>
        <v>164</v>
      </c>
      <c r="C134" s="551"/>
      <c r="D134" s="554"/>
      <c r="E134" s="554"/>
      <c r="I134" s="548"/>
      <c r="J134" s="548"/>
      <c r="K134" s="564"/>
    </row>
    <row r="135" spans="1:11">
      <c r="A135" s="557"/>
      <c r="B135" s="479">
        <f t="shared" si="15"/>
        <v>165</v>
      </c>
      <c r="C135" s="551"/>
      <c r="D135" s="554"/>
      <c r="E135" s="554"/>
      <c r="F135" s="463" t="b">
        <v>0</v>
      </c>
      <c r="G135" s="39" t="s">
        <v>147</v>
      </c>
      <c r="H135" s="8" t="s">
        <v>148</v>
      </c>
      <c r="I135" s="548"/>
      <c r="J135" s="548"/>
      <c r="K135" s="564"/>
    </row>
    <row r="136" spans="1:11" ht="3.75" customHeight="1">
      <c r="A136" s="557"/>
      <c r="B136" s="479">
        <f t="shared" si="15"/>
        <v>166</v>
      </c>
      <c r="C136" s="551"/>
      <c r="D136" s="554"/>
      <c r="E136" s="554"/>
      <c r="I136" s="548"/>
      <c r="J136" s="548"/>
      <c r="K136" s="564"/>
    </row>
    <row r="137" spans="1:11" ht="29.45" thickBot="1">
      <c r="A137" s="558"/>
      <c r="B137" s="479">
        <f t="shared" si="15"/>
        <v>167</v>
      </c>
      <c r="C137" s="552"/>
      <c r="D137" s="555"/>
      <c r="E137" s="555"/>
      <c r="F137" s="444" t="b">
        <v>0</v>
      </c>
      <c r="G137" s="91" t="s">
        <v>99</v>
      </c>
      <c r="H137" s="47" t="s">
        <v>149</v>
      </c>
      <c r="I137" s="549"/>
      <c r="J137" s="549"/>
      <c r="K137" s="565"/>
    </row>
    <row r="138" spans="1:11" ht="4.5" customHeight="1" thickBot="1">
      <c r="C138" s="165"/>
      <c r="D138" s="119"/>
      <c r="E138" s="119"/>
      <c r="F138" s="27"/>
      <c r="G138" s="27"/>
      <c r="H138" s="30"/>
      <c r="I138" s="165"/>
      <c r="J138" s="165"/>
      <c r="K138" s="29"/>
    </row>
    <row r="139" spans="1:11" ht="15" customHeight="1">
      <c r="A139" s="556">
        <f>A131+1</f>
        <v>17</v>
      </c>
      <c r="B139" s="478">
        <f>B131+10</f>
        <v>171</v>
      </c>
      <c r="C139" s="550"/>
      <c r="D139" s="553"/>
      <c r="E139" s="553"/>
      <c r="F139" s="442" t="b">
        <v>0</v>
      </c>
      <c r="G139" s="54" t="s">
        <v>143</v>
      </c>
      <c r="H139" s="67" t="s">
        <v>144</v>
      </c>
      <c r="I139" s="547"/>
      <c r="J139" s="547"/>
      <c r="K139" s="563"/>
    </row>
    <row r="140" spans="1:11" ht="3.75" customHeight="1">
      <c r="A140" s="557"/>
      <c r="B140" s="479">
        <f t="shared" ref="B140:B145" si="16">B139+1</f>
        <v>172</v>
      </c>
      <c r="C140" s="551"/>
      <c r="D140" s="554"/>
      <c r="E140" s="554"/>
      <c r="I140" s="548"/>
      <c r="J140" s="548"/>
      <c r="K140" s="564"/>
    </row>
    <row r="141" spans="1:11">
      <c r="A141" s="557"/>
      <c r="B141" s="479">
        <f t="shared" si="16"/>
        <v>173</v>
      </c>
      <c r="C141" s="551"/>
      <c r="D141" s="554"/>
      <c r="E141" s="554"/>
      <c r="F141" s="443" t="b">
        <v>0</v>
      </c>
      <c r="G141" t="s">
        <v>2</v>
      </c>
      <c r="H141" s="3" t="s">
        <v>146</v>
      </c>
      <c r="I141" s="548"/>
      <c r="J141" s="548"/>
      <c r="K141" s="564"/>
    </row>
    <row r="142" spans="1:11" ht="3.75" customHeight="1">
      <c r="A142" s="557"/>
      <c r="B142" s="479">
        <f t="shared" si="16"/>
        <v>174</v>
      </c>
      <c r="C142" s="551"/>
      <c r="D142" s="554"/>
      <c r="E142" s="554"/>
      <c r="I142" s="548"/>
      <c r="J142" s="548"/>
      <c r="K142" s="564"/>
    </row>
    <row r="143" spans="1:11">
      <c r="A143" s="557"/>
      <c r="B143" s="479">
        <f t="shared" si="16"/>
        <v>175</v>
      </c>
      <c r="C143" s="551"/>
      <c r="D143" s="554"/>
      <c r="E143" s="554"/>
      <c r="F143" s="463" t="b">
        <v>0</v>
      </c>
      <c r="G143" s="39" t="s">
        <v>147</v>
      </c>
      <c r="H143" s="8" t="s">
        <v>148</v>
      </c>
      <c r="I143" s="548"/>
      <c r="J143" s="548"/>
      <c r="K143" s="564"/>
    </row>
    <row r="144" spans="1:11" ht="3.75" customHeight="1">
      <c r="A144" s="557"/>
      <c r="B144" s="479">
        <f t="shared" si="16"/>
        <v>176</v>
      </c>
      <c r="C144" s="551"/>
      <c r="D144" s="554"/>
      <c r="E144" s="554"/>
      <c r="I144" s="548"/>
      <c r="J144" s="548"/>
      <c r="K144" s="564"/>
    </row>
    <row r="145" spans="1:11" ht="29.45" thickBot="1">
      <c r="A145" s="558"/>
      <c r="B145" s="479">
        <f t="shared" si="16"/>
        <v>177</v>
      </c>
      <c r="C145" s="552"/>
      <c r="D145" s="555"/>
      <c r="E145" s="555"/>
      <c r="F145" s="444" t="b">
        <v>0</v>
      </c>
      <c r="G145" s="91" t="s">
        <v>99</v>
      </c>
      <c r="H145" s="47" t="s">
        <v>149</v>
      </c>
      <c r="I145" s="549"/>
      <c r="J145" s="549"/>
      <c r="K145" s="565"/>
    </row>
    <row r="146" spans="1:11" ht="4.5" customHeight="1" thickBot="1">
      <c r="C146" s="165"/>
      <c r="D146" s="119"/>
      <c r="E146" s="119"/>
      <c r="F146" s="27"/>
      <c r="G146" s="27"/>
      <c r="H146" s="30"/>
      <c r="I146" s="165"/>
      <c r="J146" s="165"/>
      <c r="K146" s="29"/>
    </row>
    <row r="147" spans="1:11" ht="15" customHeight="1">
      <c r="A147" s="556">
        <f>A139+1</f>
        <v>18</v>
      </c>
      <c r="B147" s="478">
        <f>B139+10</f>
        <v>181</v>
      </c>
      <c r="C147" s="550"/>
      <c r="D147" s="553"/>
      <c r="E147" s="553"/>
      <c r="F147" s="442" t="b">
        <v>0</v>
      </c>
      <c r="G147" s="54" t="s">
        <v>143</v>
      </c>
      <c r="H147" s="67" t="s">
        <v>144</v>
      </c>
      <c r="I147" s="547"/>
      <c r="J147" s="547"/>
      <c r="K147" s="563"/>
    </row>
    <row r="148" spans="1:11" ht="3.75" customHeight="1">
      <c r="A148" s="557"/>
      <c r="B148" s="479">
        <f t="shared" ref="B148:B153" si="17">B147+1</f>
        <v>182</v>
      </c>
      <c r="C148" s="551"/>
      <c r="D148" s="554"/>
      <c r="E148" s="554"/>
      <c r="I148" s="548"/>
      <c r="J148" s="548"/>
      <c r="K148" s="564"/>
    </row>
    <row r="149" spans="1:11">
      <c r="A149" s="557"/>
      <c r="B149" s="479">
        <f t="shared" si="17"/>
        <v>183</v>
      </c>
      <c r="C149" s="551"/>
      <c r="D149" s="554"/>
      <c r="E149" s="554"/>
      <c r="F149" s="443" t="b">
        <v>0</v>
      </c>
      <c r="G149" t="s">
        <v>2</v>
      </c>
      <c r="H149" s="3" t="s">
        <v>146</v>
      </c>
      <c r="I149" s="548"/>
      <c r="J149" s="548"/>
      <c r="K149" s="564"/>
    </row>
    <row r="150" spans="1:11" ht="3.75" customHeight="1">
      <c r="A150" s="557"/>
      <c r="B150" s="479">
        <f t="shared" si="17"/>
        <v>184</v>
      </c>
      <c r="C150" s="551"/>
      <c r="D150" s="554"/>
      <c r="E150" s="554"/>
      <c r="I150" s="548"/>
      <c r="J150" s="548"/>
      <c r="K150" s="564"/>
    </row>
    <row r="151" spans="1:11">
      <c r="A151" s="557"/>
      <c r="B151" s="479">
        <f t="shared" si="17"/>
        <v>185</v>
      </c>
      <c r="C151" s="551"/>
      <c r="D151" s="554"/>
      <c r="E151" s="554"/>
      <c r="F151" s="463" t="b">
        <v>0</v>
      </c>
      <c r="G151" s="39" t="s">
        <v>147</v>
      </c>
      <c r="H151" s="8" t="s">
        <v>148</v>
      </c>
      <c r="I151" s="548"/>
      <c r="J151" s="548"/>
      <c r="K151" s="564"/>
    </row>
    <row r="152" spans="1:11" ht="3.75" customHeight="1">
      <c r="A152" s="557"/>
      <c r="B152" s="479">
        <f t="shared" si="17"/>
        <v>186</v>
      </c>
      <c r="C152" s="551"/>
      <c r="D152" s="554"/>
      <c r="E152" s="554"/>
      <c r="I152" s="548"/>
      <c r="J152" s="548"/>
      <c r="K152" s="564"/>
    </row>
    <row r="153" spans="1:11" ht="29.45" thickBot="1">
      <c r="A153" s="558"/>
      <c r="B153" s="479">
        <f t="shared" si="17"/>
        <v>187</v>
      </c>
      <c r="C153" s="552"/>
      <c r="D153" s="555"/>
      <c r="E153" s="555"/>
      <c r="F153" s="444" t="b">
        <v>0</v>
      </c>
      <c r="G153" s="91" t="s">
        <v>99</v>
      </c>
      <c r="H153" s="47" t="s">
        <v>149</v>
      </c>
      <c r="I153" s="549"/>
      <c r="J153" s="549"/>
      <c r="K153" s="565"/>
    </row>
    <row r="154" spans="1:11" ht="4.5" customHeight="1" thickBot="1">
      <c r="C154" s="165"/>
      <c r="D154" s="119"/>
      <c r="E154" s="119"/>
      <c r="F154" s="27"/>
      <c r="G154" s="27"/>
      <c r="H154" s="30"/>
      <c r="I154" s="165"/>
      <c r="J154" s="165"/>
      <c r="K154" s="29"/>
    </row>
    <row r="155" spans="1:11" ht="15" customHeight="1">
      <c r="A155" s="556">
        <f>A147+1</f>
        <v>19</v>
      </c>
      <c r="B155" s="478">
        <f>B147+10</f>
        <v>191</v>
      </c>
      <c r="C155" s="550"/>
      <c r="D155" s="553"/>
      <c r="E155" s="553"/>
      <c r="F155" s="442" t="b">
        <v>0</v>
      </c>
      <c r="G155" s="54" t="s">
        <v>143</v>
      </c>
      <c r="H155" s="67" t="s">
        <v>144</v>
      </c>
      <c r="I155" s="547"/>
      <c r="J155" s="547"/>
      <c r="K155" s="563"/>
    </row>
    <row r="156" spans="1:11" ht="3.75" customHeight="1">
      <c r="A156" s="557"/>
      <c r="B156" s="479">
        <f t="shared" ref="B156:B161" si="18">B155+1</f>
        <v>192</v>
      </c>
      <c r="C156" s="551"/>
      <c r="D156" s="554"/>
      <c r="E156" s="554"/>
      <c r="I156" s="548"/>
      <c r="J156" s="548"/>
      <c r="K156" s="564"/>
    </row>
    <row r="157" spans="1:11">
      <c r="A157" s="557"/>
      <c r="B157" s="479">
        <f t="shared" si="18"/>
        <v>193</v>
      </c>
      <c r="C157" s="551"/>
      <c r="D157" s="554"/>
      <c r="E157" s="554"/>
      <c r="F157" s="443" t="b">
        <v>0</v>
      </c>
      <c r="G157" t="s">
        <v>2</v>
      </c>
      <c r="H157" s="3" t="s">
        <v>146</v>
      </c>
      <c r="I157" s="548"/>
      <c r="J157" s="548"/>
      <c r="K157" s="564"/>
    </row>
    <row r="158" spans="1:11" ht="3.75" customHeight="1">
      <c r="A158" s="557"/>
      <c r="B158" s="479">
        <f t="shared" si="18"/>
        <v>194</v>
      </c>
      <c r="C158" s="551"/>
      <c r="D158" s="554"/>
      <c r="E158" s="554"/>
      <c r="I158" s="548"/>
      <c r="J158" s="548"/>
      <c r="K158" s="564"/>
    </row>
    <row r="159" spans="1:11">
      <c r="A159" s="557"/>
      <c r="B159" s="479">
        <f t="shared" si="18"/>
        <v>195</v>
      </c>
      <c r="C159" s="551"/>
      <c r="D159" s="554"/>
      <c r="E159" s="554"/>
      <c r="F159" s="463" t="b">
        <v>0</v>
      </c>
      <c r="G159" s="39" t="s">
        <v>147</v>
      </c>
      <c r="H159" s="8" t="s">
        <v>148</v>
      </c>
      <c r="I159" s="548"/>
      <c r="J159" s="548"/>
      <c r="K159" s="564"/>
    </row>
    <row r="160" spans="1:11" ht="3.75" customHeight="1">
      <c r="A160" s="557"/>
      <c r="B160" s="479">
        <f t="shared" si="18"/>
        <v>196</v>
      </c>
      <c r="C160" s="551"/>
      <c r="D160" s="554"/>
      <c r="E160" s="554"/>
      <c r="I160" s="548"/>
      <c r="J160" s="548"/>
      <c r="K160" s="564"/>
    </row>
    <row r="161" spans="1:11" ht="29.45" thickBot="1">
      <c r="A161" s="558"/>
      <c r="B161" s="479">
        <f t="shared" si="18"/>
        <v>197</v>
      </c>
      <c r="C161" s="552"/>
      <c r="D161" s="555"/>
      <c r="E161" s="555"/>
      <c r="F161" s="444" t="b">
        <v>0</v>
      </c>
      <c r="G161" s="91" t="s">
        <v>99</v>
      </c>
      <c r="H161" s="47" t="s">
        <v>149</v>
      </c>
      <c r="I161" s="549"/>
      <c r="J161" s="549"/>
      <c r="K161" s="565"/>
    </row>
    <row r="162" spans="1:11" ht="4.5" customHeight="1" thickBot="1">
      <c r="C162" s="165"/>
      <c r="D162" s="119"/>
      <c r="E162" s="119"/>
      <c r="F162" s="27"/>
      <c r="G162" s="27"/>
      <c r="H162" s="30"/>
      <c r="I162" s="165"/>
      <c r="J162" s="165"/>
      <c r="K162" s="29"/>
    </row>
    <row r="163" spans="1:11" ht="15" customHeight="1">
      <c r="A163" s="556">
        <f>A155+1</f>
        <v>20</v>
      </c>
      <c r="B163" s="478">
        <f>B155+10</f>
        <v>201</v>
      </c>
      <c r="C163" s="550"/>
      <c r="D163" s="553"/>
      <c r="E163" s="553"/>
      <c r="F163" s="442" t="b">
        <v>0</v>
      </c>
      <c r="G163" s="54" t="s">
        <v>143</v>
      </c>
      <c r="H163" s="67" t="s">
        <v>144</v>
      </c>
      <c r="I163" s="547"/>
      <c r="J163" s="547"/>
      <c r="K163" s="563"/>
    </row>
    <row r="164" spans="1:11" ht="3.75" customHeight="1">
      <c r="A164" s="557"/>
      <c r="B164" s="479">
        <f t="shared" ref="B164:B169" si="19">B163+1</f>
        <v>202</v>
      </c>
      <c r="C164" s="551"/>
      <c r="D164" s="554"/>
      <c r="E164" s="554"/>
      <c r="I164" s="548"/>
      <c r="J164" s="548"/>
      <c r="K164" s="564"/>
    </row>
    <row r="165" spans="1:11">
      <c r="A165" s="557"/>
      <c r="B165" s="479">
        <f t="shared" si="19"/>
        <v>203</v>
      </c>
      <c r="C165" s="551"/>
      <c r="D165" s="554"/>
      <c r="E165" s="554"/>
      <c r="F165" s="443" t="b">
        <v>0</v>
      </c>
      <c r="G165" t="s">
        <v>2</v>
      </c>
      <c r="H165" s="3" t="s">
        <v>146</v>
      </c>
      <c r="I165" s="548"/>
      <c r="J165" s="548"/>
      <c r="K165" s="564"/>
    </row>
    <row r="166" spans="1:11" ht="3.75" customHeight="1">
      <c r="A166" s="557"/>
      <c r="B166" s="479">
        <f t="shared" si="19"/>
        <v>204</v>
      </c>
      <c r="C166" s="551"/>
      <c r="D166" s="554"/>
      <c r="E166" s="554"/>
      <c r="I166" s="548"/>
      <c r="J166" s="548"/>
      <c r="K166" s="564"/>
    </row>
    <row r="167" spans="1:11">
      <c r="A167" s="557"/>
      <c r="B167" s="479">
        <f t="shared" si="19"/>
        <v>205</v>
      </c>
      <c r="C167" s="551"/>
      <c r="D167" s="554"/>
      <c r="E167" s="554"/>
      <c r="F167" s="463" t="b">
        <v>0</v>
      </c>
      <c r="G167" s="39" t="s">
        <v>147</v>
      </c>
      <c r="H167" s="8" t="s">
        <v>148</v>
      </c>
      <c r="I167" s="548"/>
      <c r="J167" s="548"/>
      <c r="K167" s="564"/>
    </row>
    <row r="168" spans="1:11" ht="3.75" customHeight="1">
      <c r="A168" s="557"/>
      <c r="B168" s="479">
        <f t="shared" si="19"/>
        <v>206</v>
      </c>
      <c r="C168" s="551"/>
      <c r="D168" s="554"/>
      <c r="E168" s="554"/>
      <c r="I168" s="548"/>
      <c r="J168" s="548"/>
      <c r="K168" s="564"/>
    </row>
    <row r="169" spans="1:11" ht="29.45" thickBot="1">
      <c r="A169" s="558"/>
      <c r="B169" s="479">
        <f t="shared" si="19"/>
        <v>207</v>
      </c>
      <c r="C169" s="552"/>
      <c r="D169" s="555"/>
      <c r="E169" s="555"/>
      <c r="F169" s="444" t="b">
        <v>0</v>
      </c>
      <c r="G169" s="91" t="s">
        <v>99</v>
      </c>
      <c r="H169" s="47" t="s">
        <v>149</v>
      </c>
      <c r="I169" s="549"/>
      <c r="J169" s="549"/>
      <c r="K169" s="565"/>
    </row>
    <row r="170" spans="1:11" ht="7.5" customHeight="1">
      <c r="C170" s="166"/>
      <c r="D170" s="29"/>
      <c r="E170" s="29"/>
      <c r="F170" s="27"/>
      <c r="G170" s="27"/>
      <c r="H170" s="30"/>
      <c r="I170" s="166"/>
      <c r="J170" s="166"/>
      <c r="K170" s="29"/>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98" priority="284">
      <formula>AND($F13=TRUE,F11=TRUE)</formula>
    </cfRule>
  </conditionalFormatting>
  <conditionalFormatting sqref="G23">
    <cfRule type="expression" dxfId="3397" priority="378">
      <formula>AND($F21=TRUE,F19=TRUE)</formula>
    </cfRule>
  </conditionalFormatting>
  <conditionalFormatting sqref="G31">
    <cfRule type="expression" dxfId="3396" priority="269">
      <formula>AND($F29=TRUE,F27=TRUE)</formula>
    </cfRule>
  </conditionalFormatting>
  <conditionalFormatting sqref="G39">
    <cfRule type="expression" dxfId="3395" priority="254">
      <formula>AND($F37=TRUE,F35=TRUE)</formula>
    </cfRule>
  </conditionalFormatting>
  <conditionalFormatting sqref="G47">
    <cfRule type="expression" dxfId="3394" priority="239">
      <formula>AND($F45=TRUE,F43=TRUE)</formula>
    </cfRule>
  </conditionalFormatting>
  <conditionalFormatting sqref="G55">
    <cfRule type="expression" dxfId="3393" priority="224">
      <formula>AND($F53=TRUE,F51=TRUE)</formula>
    </cfRule>
  </conditionalFormatting>
  <conditionalFormatting sqref="G63">
    <cfRule type="expression" dxfId="3392" priority="209">
      <formula>AND($F61=TRUE,F59=TRUE)</formula>
    </cfRule>
  </conditionalFormatting>
  <conditionalFormatting sqref="G71">
    <cfRule type="expression" dxfId="3391" priority="194">
      <formula>AND($F69=TRUE,F67=TRUE)</formula>
    </cfRule>
  </conditionalFormatting>
  <conditionalFormatting sqref="G79">
    <cfRule type="expression" dxfId="3390" priority="179">
      <formula>AND($F77=TRUE,F75=TRUE)</formula>
    </cfRule>
  </conditionalFormatting>
  <conditionalFormatting sqref="G87">
    <cfRule type="expression" dxfId="3389" priority="164">
      <formula>AND($F85=TRUE,F83=TRUE)</formula>
    </cfRule>
  </conditionalFormatting>
  <conditionalFormatting sqref="G95">
    <cfRule type="expression" dxfId="3388" priority="149">
      <formula>AND($F93=TRUE,F91=TRUE)</formula>
    </cfRule>
  </conditionalFormatting>
  <conditionalFormatting sqref="G103">
    <cfRule type="expression" dxfId="3387" priority="134">
      <formula>AND($F101=TRUE,F99=TRUE)</formula>
    </cfRule>
  </conditionalFormatting>
  <conditionalFormatting sqref="G111">
    <cfRule type="expression" dxfId="3386" priority="119">
      <formula>AND($F109=TRUE,F107=TRUE)</formula>
    </cfRule>
  </conditionalFormatting>
  <conditionalFormatting sqref="G119">
    <cfRule type="expression" dxfId="3385" priority="104">
      <formula>AND($F117=TRUE,F115=TRUE)</formula>
    </cfRule>
  </conditionalFormatting>
  <conditionalFormatting sqref="G127">
    <cfRule type="expression" dxfId="3384" priority="89">
      <formula>AND($F125=TRUE,F123=TRUE)</formula>
    </cfRule>
  </conditionalFormatting>
  <conditionalFormatting sqref="G135">
    <cfRule type="expression" dxfId="3383" priority="74">
      <formula>AND($F133=TRUE,F131=TRUE)</formula>
    </cfRule>
  </conditionalFormatting>
  <conditionalFormatting sqref="G143">
    <cfRule type="expression" dxfId="3382" priority="59">
      <formula>AND($F141=TRUE,F139=TRUE)</formula>
    </cfRule>
  </conditionalFormatting>
  <conditionalFormatting sqref="G151">
    <cfRule type="expression" dxfId="3381" priority="44">
      <formula>AND($F149=TRUE,F147=TRUE)</formula>
    </cfRule>
  </conditionalFormatting>
  <conditionalFormatting sqref="G159">
    <cfRule type="expression" dxfId="3380" priority="29">
      <formula>AND($F157=TRUE,F155=TRUE)</formula>
    </cfRule>
  </conditionalFormatting>
  <conditionalFormatting sqref="G167">
    <cfRule type="expression" dxfId="3379" priority="14">
      <formula>AND($F165=TRUE,F163=TRUE)</formula>
    </cfRule>
  </conditionalFormatting>
  <conditionalFormatting sqref="H15">
    <cfRule type="expression" dxfId="3378" priority="283">
      <formula>AND($F13=TRUE,F11=TRUE)</formula>
    </cfRule>
  </conditionalFormatting>
  <conditionalFormatting sqref="H23">
    <cfRule type="expression" dxfId="3377" priority="377">
      <formula>AND($F21=TRUE,F19=TRUE)</formula>
    </cfRule>
  </conditionalFormatting>
  <conditionalFormatting sqref="H31">
    <cfRule type="expression" dxfId="3376" priority="268">
      <formula>AND($F29=TRUE,F27=TRUE)</formula>
    </cfRule>
  </conditionalFormatting>
  <conditionalFormatting sqref="H39">
    <cfRule type="expression" dxfId="3375" priority="253">
      <formula>AND($F37=TRUE,F35=TRUE)</formula>
    </cfRule>
  </conditionalFormatting>
  <conditionalFormatting sqref="H47">
    <cfRule type="expression" dxfId="3374" priority="238">
      <formula>AND($F45=TRUE,F43=TRUE)</formula>
    </cfRule>
  </conditionalFormatting>
  <conditionalFormatting sqref="H55">
    <cfRule type="expression" dxfId="3373" priority="223">
      <formula>AND($F53=TRUE,F51=TRUE)</formula>
    </cfRule>
  </conditionalFormatting>
  <conditionalFormatting sqref="H63">
    <cfRule type="expression" dxfId="3372" priority="208">
      <formula>AND($F61=TRUE,F59=TRUE)</formula>
    </cfRule>
  </conditionalFormatting>
  <conditionalFormatting sqref="H71">
    <cfRule type="expression" dxfId="3371" priority="193">
      <formula>AND($F69=TRUE,F67=TRUE)</formula>
    </cfRule>
  </conditionalFormatting>
  <conditionalFormatting sqref="H79">
    <cfRule type="expression" dxfId="3370" priority="178">
      <formula>AND($F77=TRUE,F75=TRUE)</formula>
    </cfRule>
  </conditionalFormatting>
  <conditionalFormatting sqref="H87">
    <cfRule type="expression" dxfId="3369" priority="163">
      <formula>AND($F85=TRUE,F83=TRUE)</formula>
    </cfRule>
  </conditionalFormatting>
  <conditionalFormatting sqref="H95">
    <cfRule type="expression" dxfId="3368" priority="148">
      <formula>AND($F93=TRUE,F91=TRUE)</formula>
    </cfRule>
  </conditionalFormatting>
  <conditionalFormatting sqref="H103">
    <cfRule type="expression" dxfId="3367" priority="133">
      <formula>AND($F101=TRUE,F99=TRUE)</formula>
    </cfRule>
  </conditionalFormatting>
  <conditionalFormatting sqref="H111">
    <cfRule type="expression" dxfId="3366" priority="118">
      <formula>AND($F109=TRUE,F107=TRUE)</formula>
    </cfRule>
  </conditionalFormatting>
  <conditionalFormatting sqref="H119">
    <cfRule type="expression" dxfId="3365" priority="103">
      <formula>AND($F117=TRUE,F115=TRUE)</formula>
    </cfRule>
  </conditionalFormatting>
  <conditionalFormatting sqref="H127">
    <cfRule type="expression" dxfId="3364" priority="88">
      <formula>AND($F125=TRUE,F123=TRUE)</formula>
    </cfRule>
  </conditionalFormatting>
  <conditionalFormatting sqref="H135">
    <cfRule type="expression" dxfId="3363" priority="73">
      <formula>AND($F133=TRUE,F131=TRUE)</formula>
    </cfRule>
  </conditionalFormatting>
  <conditionalFormatting sqref="H143">
    <cfRule type="expression" dxfId="3362" priority="58">
      <formula>AND($F141=TRUE,F139=TRUE)</formula>
    </cfRule>
  </conditionalFormatting>
  <conditionalFormatting sqref="H151">
    <cfRule type="expression" dxfId="3361" priority="43">
      <formula>AND($F149=TRUE,F147=TRUE)</formula>
    </cfRule>
  </conditionalFormatting>
  <conditionalFormatting sqref="H159">
    <cfRule type="expression" dxfId="3360" priority="28">
      <formula>AND($F157=TRUE,F155=TRUE)</formula>
    </cfRule>
  </conditionalFormatting>
  <conditionalFormatting sqref="H167">
    <cfRule type="expression" dxfId="3359" priority="13">
      <formula>AND($F165=TRUE,F163=TRUE)</formula>
    </cfRule>
  </conditionalFormatting>
  <conditionalFormatting sqref="K11:K17">
    <cfRule type="cellIs" dxfId="3358" priority="607" operator="equal">
      <formula>"Brown"</formula>
    </cfRule>
    <cfRule type="cellIs" dxfId="3357" priority="608" operator="equal">
      <formula>"Amber"</formula>
    </cfRule>
    <cfRule type="cellIs" dxfId="3356" priority="609" operator="equal">
      <formula>"orange"</formula>
    </cfRule>
    <cfRule type="cellIs" dxfId="3355" priority="610" operator="equal">
      <formula>"Green"</formula>
    </cfRule>
    <cfRule type="cellIs" dxfId="3354" priority="611" operator="equal">
      <formula>"Blue"</formula>
    </cfRule>
    <cfRule type="cellIs" dxfId="3353" priority="612" operator="equal">
      <formula>"Purple"</formula>
    </cfRule>
    <cfRule type="cellIs" dxfId="3352" priority="613" operator="equal">
      <formula>"Dark Gray"</formula>
    </cfRule>
    <cfRule type="cellIs" dxfId="3351" priority="614" operator="equal">
      <formula>"Magenta"</formula>
    </cfRule>
    <cfRule type="cellIs" dxfId="3350" priority="615" operator="equal">
      <formula>"Gray"</formula>
    </cfRule>
    <cfRule type="cellIs" dxfId="3349" priority="616" operator="equal">
      <formula>"Black"</formula>
    </cfRule>
  </conditionalFormatting>
  <conditionalFormatting sqref="K19:K25">
    <cfRule type="cellIs" dxfId="3348" priority="567" operator="equal">
      <formula>"Brown"</formula>
    </cfRule>
    <cfRule type="cellIs" dxfId="3347" priority="568" operator="equal">
      <formula>"Amber"</formula>
    </cfRule>
    <cfRule type="cellIs" dxfId="3346" priority="569" operator="equal">
      <formula>"orange"</formula>
    </cfRule>
    <cfRule type="cellIs" dxfId="3345" priority="570" operator="equal">
      <formula>"Green"</formula>
    </cfRule>
    <cfRule type="cellIs" dxfId="3344" priority="571" operator="equal">
      <formula>"Blue"</formula>
    </cfRule>
    <cfRule type="cellIs" dxfId="3343" priority="572" operator="equal">
      <formula>"Purple"</formula>
    </cfRule>
    <cfRule type="cellIs" dxfId="3342" priority="573" operator="equal">
      <formula>"Dark Gray"</formula>
    </cfRule>
    <cfRule type="cellIs" dxfId="3341" priority="574" operator="equal">
      <formula>"Magenta"</formula>
    </cfRule>
    <cfRule type="cellIs" dxfId="3340" priority="575" operator="equal">
      <formula>"Gray"</formula>
    </cfRule>
    <cfRule type="cellIs" dxfId="3339" priority="576" operator="equal">
      <formula>"Black"</formula>
    </cfRule>
  </conditionalFormatting>
  <conditionalFormatting sqref="K27:K33">
    <cfRule type="cellIs" dxfId="3338" priority="557" operator="equal">
      <formula>"Brown"</formula>
    </cfRule>
    <cfRule type="cellIs" dxfId="3337" priority="558" operator="equal">
      <formula>"Amber"</formula>
    </cfRule>
    <cfRule type="cellIs" dxfId="3336" priority="559" operator="equal">
      <formula>"orange"</formula>
    </cfRule>
    <cfRule type="cellIs" dxfId="3335" priority="560" operator="equal">
      <formula>"Green"</formula>
    </cfRule>
    <cfRule type="cellIs" dxfId="3334" priority="561" operator="equal">
      <formula>"Blue"</formula>
    </cfRule>
    <cfRule type="cellIs" dxfId="3333" priority="562" operator="equal">
      <formula>"Purple"</formula>
    </cfRule>
    <cfRule type="cellIs" dxfId="3332" priority="563" operator="equal">
      <formula>"Dark Gray"</formula>
    </cfRule>
    <cfRule type="cellIs" dxfId="3331" priority="564" operator="equal">
      <formula>"Magenta"</formula>
    </cfRule>
    <cfRule type="cellIs" dxfId="3330" priority="565" operator="equal">
      <formula>"Gray"</formula>
    </cfRule>
    <cfRule type="cellIs" dxfId="3329" priority="566" operator="equal">
      <formula>"Black"</formula>
    </cfRule>
  </conditionalFormatting>
  <conditionalFormatting sqref="K35:K41">
    <cfRule type="cellIs" dxfId="3328" priority="547" operator="equal">
      <formula>"Brown"</formula>
    </cfRule>
    <cfRule type="cellIs" dxfId="3327" priority="548" operator="equal">
      <formula>"Amber"</formula>
    </cfRule>
    <cfRule type="cellIs" dxfId="3326" priority="549" operator="equal">
      <formula>"orange"</formula>
    </cfRule>
    <cfRule type="cellIs" dxfId="3325" priority="550" operator="equal">
      <formula>"Green"</formula>
    </cfRule>
    <cfRule type="cellIs" dxfId="3324" priority="551" operator="equal">
      <formula>"Blue"</formula>
    </cfRule>
    <cfRule type="cellIs" dxfId="3323" priority="552" operator="equal">
      <formula>"Purple"</formula>
    </cfRule>
    <cfRule type="cellIs" dxfId="3322" priority="553" operator="equal">
      <formula>"Dark Gray"</formula>
    </cfRule>
    <cfRule type="cellIs" dxfId="3321" priority="554" operator="equal">
      <formula>"Magenta"</formula>
    </cfRule>
    <cfRule type="cellIs" dxfId="3320" priority="555" operator="equal">
      <formula>"Gray"</formula>
    </cfRule>
    <cfRule type="cellIs" dxfId="3319" priority="556" operator="equal">
      <formula>"Black"</formula>
    </cfRule>
  </conditionalFormatting>
  <conditionalFormatting sqref="K43:K49">
    <cfRule type="cellIs" dxfId="3318" priority="537" operator="equal">
      <formula>"Brown"</formula>
    </cfRule>
    <cfRule type="cellIs" dxfId="3317" priority="538" operator="equal">
      <formula>"Amber"</formula>
    </cfRule>
    <cfRule type="cellIs" dxfId="3316" priority="539" operator="equal">
      <formula>"orange"</formula>
    </cfRule>
    <cfRule type="cellIs" dxfId="3315" priority="540" operator="equal">
      <formula>"Green"</formula>
    </cfRule>
    <cfRule type="cellIs" dxfId="3314" priority="541" operator="equal">
      <formula>"Blue"</formula>
    </cfRule>
    <cfRule type="cellIs" dxfId="3313" priority="542" operator="equal">
      <formula>"Purple"</formula>
    </cfRule>
    <cfRule type="cellIs" dxfId="3312" priority="543" operator="equal">
      <formula>"Dark Gray"</formula>
    </cfRule>
    <cfRule type="cellIs" dxfId="3311" priority="544" operator="equal">
      <formula>"Magenta"</formula>
    </cfRule>
    <cfRule type="cellIs" dxfId="3310" priority="545" operator="equal">
      <formula>"Gray"</formula>
    </cfRule>
    <cfRule type="cellIs" dxfId="3309" priority="546" operator="equal">
      <formula>"Black"</formula>
    </cfRule>
  </conditionalFormatting>
  <conditionalFormatting sqref="K51:K57">
    <cfRule type="cellIs" dxfId="3308" priority="527" operator="equal">
      <formula>"Brown"</formula>
    </cfRule>
    <cfRule type="cellIs" dxfId="3307" priority="528" operator="equal">
      <formula>"Amber"</formula>
    </cfRule>
    <cfRule type="cellIs" dxfId="3306" priority="529" operator="equal">
      <formula>"orange"</formula>
    </cfRule>
    <cfRule type="cellIs" dxfId="3305" priority="530" operator="equal">
      <formula>"Green"</formula>
    </cfRule>
    <cfRule type="cellIs" dxfId="3304" priority="531" operator="equal">
      <formula>"Blue"</formula>
    </cfRule>
    <cfRule type="cellIs" dxfId="3303" priority="532" operator="equal">
      <formula>"Purple"</formula>
    </cfRule>
    <cfRule type="cellIs" dxfId="3302" priority="533" operator="equal">
      <formula>"Dark Gray"</formula>
    </cfRule>
    <cfRule type="cellIs" dxfId="3301" priority="534" operator="equal">
      <formula>"Magenta"</formula>
    </cfRule>
    <cfRule type="cellIs" dxfId="3300" priority="535" operator="equal">
      <formula>"Gray"</formula>
    </cfRule>
    <cfRule type="cellIs" dxfId="3299" priority="536" operator="equal">
      <formula>"Black"</formula>
    </cfRule>
  </conditionalFormatting>
  <conditionalFormatting sqref="K59:K65">
    <cfRule type="cellIs" dxfId="3298" priority="517" operator="equal">
      <formula>"Brown"</formula>
    </cfRule>
    <cfRule type="cellIs" dxfId="3297" priority="518" operator="equal">
      <formula>"Amber"</formula>
    </cfRule>
    <cfRule type="cellIs" dxfId="3296" priority="519" operator="equal">
      <formula>"orange"</formula>
    </cfRule>
    <cfRule type="cellIs" dxfId="3295" priority="520" operator="equal">
      <formula>"Green"</formula>
    </cfRule>
    <cfRule type="cellIs" dxfId="3294" priority="521" operator="equal">
      <formula>"Blue"</formula>
    </cfRule>
    <cfRule type="cellIs" dxfId="3293" priority="522" operator="equal">
      <formula>"Purple"</formula>
    </cfRule>
    <cfRule type="cellIs" dxfId="3292" priority="523" operator="equal">
      <formula>"Dark Gray"</formula>
    </cfRule>
    <cfRule type="cellIs" dxfId="3291" priority="524" operator="equal">
      <formula>"Magenta"</formula>
    </cfRule>
    <cfRule type="cellIs" dxfId="3290" priority="525" operator="equal">
      <formula>"Gray"</formula>
    </cfRule>
    <cfRule type="cellIs" dxfId="3289" priority="526" operator="equal">
      <formula>"Black"</formula>
    </cfRule>
  </conditionalFormatting>
  <conditionalFormatting sqref="K67:K73">
    <cfRule type="cellIs" dxfId="3288" priority="507" operator="equal">
      <formula>"Brown"</formula>
    </cfRule>
    <cfRule type="cellIs" dxfId="3287" priority="508" operator="equal">
      <formula>"Amber"</formula>
    </cfRule>
    <cfRule type="cellIs" dxfId="3286" priority="509" operator="equal">
      <formula>"orange"</formula>
    </cfRule>
    <cfRule type="cellIs" dxfId="3285" priority="510" operator="equal">
      <formula>"Green"</formula>
    </cfRule>
    <cfRule type="cellIs" dxfId="3284" priority="511" operator="equal">
      <formula>"Blue"</formula>
    </cfRule>
    <cfRule type="cellIs" dxfId="3283" priority="512" operator="equal">
      <formula>"Purple"</formula>
    </cfRule>
    <cfRule type="cellIs" dxfId="3282" priority="513" operator="equal">
      <formula>"Dark Gray"</formula>
    </cfRule>
    <cfRule type="cellIs" dxfId="3281" priority="514" operator="equal">
      <formula>"Magenta"</formula>
    </cfRule>
    <cfRule type="cellIs" dxfId="3280" priority="515" operator="equal">
      <formula>"Gray"</formula>
    </cfRule>
    <cfRule type="cellIs" dxfId="3279" priority="516" operator="equal">
      <formula>"Black"</formula>
    </cfRule>
  </conditionalFormatting>
  <conditionalFormatting sqref="K75:K81">
    <cfRule type="cellIs" dxfId="3278" priority="497" operator="equal">
      <formula>"Brown"</formula>
    </cfRule>
    <cfRule type="cellIs" dxfId="3277" priority="498" operator="equal">
      <formula>"Amber"</formula>
    </cfRule>
    <cfRule type="cellIs" dxfId="3276" priority="499" operator="equal">
      <formula>"orange"</formula>
    </cfRule>
    <cfRule type="cellIs" dxfId="3275" priority="500" operator="equal">
      <formula>"Green"</formula>
    </cfRule>
    <cfRule type="cellIs" dxfId="3274" priority="501" operator="equal">
      <formula>"Blue"</formula>
    </cfRule>
    <cfRule type="cellIs" dxfId="3273" priority="502" operator="equal">
      <formula>"Purple"</formula>
    </cfRule>
    <cfRule type="cellIs" dxfId="3272" priority="503" operator="equal">
      <formula>"Dark Gray"</formula>
    </cfRule>
    <cfRule type="cellIs" dxfId="3271" priority="504" operator="equal">
      <formula>"Magenta"</formula>
    </cfRule>
    <cfRule type="cellIs" dxfId="3270" priority="505" operator="equal">
      <formula>"Gray"</formula>
    </cfRule>
    <cfRule type="cellIs" dxfId="3269" priority="506" operator="equal">
      <formula>"Black"</formula>
    </cfRule>
  </conditionalFormatting>
  <conditionalFormatting sqref="K83:K89">
    <cfRule type="cellIs" dxfId="3268" priority="487" operator="equal">
      <formula>"Brown"</formula>
    </cfRule>
    <cfRule type="cellIs" dxfId="3267" priority="488" operator="equal">
      <formula>"Amber"</formula>
    </cfRule>
    <cfRule type="cellIs" dxfId="3266" priority="489" operator="equal">
      <formula>"orange"</formula>
    </cfRule>
    <cfRule type="cellIs" dxfId="3265" priority="490" operator="equal">
      <formula>"Green"</formula>
    </cfRule>
    <cfRule type="cellIs" dxfId="3264" priority="491" operator="equal">
      <formula>"Blue"</formula>
    </cfRule>
    <cfRule type="cellIs" dxfId="3263" priority="492" operator="equal">
      <formula>"Purple"</formula>
    </cfRule>
    <cfRule type="cellIs" dxfId="3262" priority="493" operator="equal">
      <formula>"Dark Gray"</formula>
    </cfRule>
    <cfRule type="cellIs" dxfId="3261" priority="494" operator="equal">
      <formula>"Magenta"</formula>
    </cfRule>
    <cfRule type="cellIs" dxfId="3260" priority="495" operator="equal">
      <formula>"Gray"</formula>
    </cfRule>
    <cfRule type="cellIs" dxfId="3259" priority="496" operator="equal">
      <formula>"Black"</formula>
    </cfRule>
  </conditionalFormatting>
  <conditionalFormatting sqref="K91:K97">
    <cfRule type="cellIs" dxfId="3258" priority="477" operator="equal">
      <formula>"Brown"</formula>
    </cfRule>
    <cfRule type="cellIs" dxfId="3257" priority="478" operator="equal">
      <formula>"Amber"</formula>
    </cfRule>
    <cfRule type="cellIs" dxfId="3256" priority="479" operator="equal">
      <formula>"orange"</formula>
    </cfRule>
    <cfRule type="cellIs" dxfId="3255" priority="480" operator="equal">
      <formula>"Green"</formula>
    </cfRule>
    <cfRule type="cellIs" dxfId="3254" priority="481" operator="equal">
      <formula>"Blue"</formula>
    </cfRule>
    <cfRule type="cellIs" dxfId="3253" priority="482" operator="equal">
      <formula>"Purple"</formula>
    </cfRule>
    <cfRule type="cellIs" dxfId="3252" priority="483" operator="equal">
      <formula>"Dark Gray"</formula>
    </cfRule>
    <cfRule type="cellIs" dxfId="3251" priority="484" operator="equal">
      <formula>"Magenta"</formula>
    </cfRule>
    <cfRule type="cellIs" dxfId="3250" priority="485" operator="equal">
      <formula>"Gray"</formula>
    </cfRule>
    <cfRule type="cellIs" dxfId="3249" priority="486" operator="equal">
      <formula>"Black"</formula>
    </cfRule>
  </conditionalFormatting>
  <conditionalFormatting sqref="K99:K105">
    <cfRule type="cellIs" dxfId="3248" priority="467" operator="equal">
      <formula>"Brown"</formula>
    </cfRule>
    <cfRule type="cellIs" dxfId="3247" priority="468" operator="equal">
      <formula>"Amber"</formula>
    </cfRule>
    <cfRule type="cellIs" dxfId="3246" priority="469" operator="equal">
      <formula>"orange"</formula>
    </cfRule>
    <cfRule type="cellIs" dxfId="3245" priority="470" operator="equal">
      <formula>"Green"</formula>
    </cfRule>
    <cfRule type="cellIs" dxfId="3244" priority="471" operator="equal">
      <formula>"Blue"</formula>
    </cfRule>
    <cfRule type="cellIs" dxfId="3243" priority="472" operator="equal">
      <formula>"Purple"</formula>
    </cfRule>
    <cfRule type="cellIs" dxfId="3242" priority="473" operator="equal">
      <formula>"Dark Gray"</formula>
    </cfRule>
    <cfRule type="cellIs" dxfId="3241" priority="474" operator="equal">
      <formula>"Magenta"</formula>
    </cfRule>
    <cfRule type="cellIs" dxfId="3240" priority="475" operator="equal">
      <formula>"Gray"</formula>
    </cfRule>
    <cfRule type="cellIs" dxfId="3239" priority="476" operator="equal">
      <formula>"Black"</formula>
    </cfRule>
  </conditionalFormatting>
  <conditionalFormatting sqref="K107:K113">
    <cfRule type="cellIs" dxfId="3238" priority="457" operator="equal">
      <formula>"Brown"</formula>
    </cfRule>
    <cfRule type="cellIs" dxfId="3237" priority="458" operator="equal">
      <formula>"Amber"</formula>
    </cfRule>
    <cfRule type="cellIs" dxfId="3236" priority="459" operator="equal">
      <formula>"orange"</formula>
    </cfRule>
    <cfRule type="cellIs" dxfId="3235" priority="460" operator="equal">
      <formula>"Green"</formula>
    </cfRule>
    <cfRule type="cellIs" dxfId="3234" priority="461" operator="equal">
      <formula>"Blue"</formula>
    </cfRule>
    <cfRule type="cellIs" dxfId="3233" priority="462" operator="equal">
      <formula>"Purple"</formula>
    </cfRule>
    <cfRule type="cellIs" dxfId="3232" priority="463" operator="equal">
      <formula>"Dark Gray"</formula>
    </cfRule>
    <cfRule type="cellIs" dxfId="3231" priority="464" operator="equal">
      <formula>"Magenta"</formula>
    </cfRule>
    <cfRule type="cellIs" dxfId="3230" priority="465" operator="equal">
      <formula>"Gray"</formula>
    </cfRule>
    <cfRule type="cellIs" dxfId="3229" priority="466" operator="equal">
      <formula>"Black"</formula>
    </cfRule>
  </conditionalFormatting>
  <conditionalFormatting sqref="K115:K121">
    <cfRule type="cellIs" dxfId="3228" priority="447" operator="equal">
      <formula>"Brown"</formula>
    </cfRule>
    <cfRule type="cellIs" dxfId="3227" priority="448" operator="equal">
      <formula>"Amber"</formula>
    </cfRule>
    <cfRule type="cellIs" dxfId="3226" priority="449" operator="equal">
      <formula>"orange"</formula>
    </cfRule>
    <cfRule type="cellIs" dxfId="3225" priority="450" operator="equal">
      <formula>"Green"</formula>
    </cfRule>
    <cfRule type="cellIs" dxfId="3224" priority="451" operator="equal">
      <formula>"Blue"</formula>
    </cfRule>
    <cfRule type="cellIs" dxfId="3223" priority="452" operator="equal">
      <formula>"Purple"</formula>
    </cfRule>
    <cfRule type="cellIs" dxfId="3222" priority="453" operator="equal">
      <formula>"Dark Gray"</formula>
    </cfRule>
    <cfRule type="cellIs" dxfId="3221" priority="454" operator="equal">
      <formula>"Magenta"</formula>
    </cfRule>
    <cfRule type="cellIs" dxfId="3220" priority="455" operator="equal">
      <formula>"Gray"</formula>
    </cfRule>
    <cfRule type="cellIs" dxfId="3219" priority="456" operator="equal">
      <formula>"Black"</formula>
    </cfRule>
  </conditionalFormatting>
  <conditionalFormatting sqref="K123:K129">
    <cfRule type="cellIs" dxfId="3218" priority="437" operator="equal">
      <formula>"Brown"</formula>
    </cfRule>
    <cfRule type="cellIs" dxfId="3217" priority="438" operator="equal">
      <formula>"Amber"</formula>
    </cfRule>
    <cfRule type="cellIs" dxfId="3216" priority="439" operator="equal">
      <formula>"orange"</formula>
    </cfRule>
    <cfRule type="cellIs" dxfId="3215" priority="440" operator="equal">
      <formula>"Green"</formula>
    </cfRule>
    <cfRule type="cellIs" dxfId="3214" priority="441" operator="equal">
      <formula>"Blue"</formula>
    </cfRule>
    <cfRule type="cellIs" dxfId="3213" priority="442" operator="equal">
      <formula>"Purple"</formula>
    </cfRule>
    <cfRule type="cellIs" dxfId="3212" priority="443" operator="equal">
      <formula>"Dark Gray"</formula>
    </cfRule>
    <cfRule type="cellIs" dxfId="3211" priority="444" operator="equal">
      <formula>"Magenta"</formula>
    </cfRule>
    <cfRule type="cellIs" dxfId="3210" priority="445" operator="equal">
      <formula>"Gray"</formula>
    </cfRule>
    <cfRule type="cellIs" dxfId="3209" priority="446" operator="equal">
      <formula>"Black"</formula>
    </cfRule>
  </conditionalFormatting>
  <conditionalFormatting sqref="K131:K137">
    <cfRule type="cellIs" dxfId="3208" priority="427" operator="equal">
      <formula>"Brown"</formula>
    </cfRule>
    <cfRule type="cellIs" dxfId="3207" priority="428" operator="equal">
      <formula>"Amber"</formula>
    </cfRule>
    <cfRule type="cellIs" dxfId="3206" priority="429" operator="equal">
      <formula>"orange"</formula>
    </cfRule>
    <cfRule type="cellIs" dxfId="3205" priority="430" operator="equal">
      <formula>"Green"</formula>
    </cfRule>
    <cfRule type="cellIs" dxfId="3204" priority="431" operator="equal">
      <formula>"Blue"</formula>
    </cfRule>
    <cfRule type="cellIs" dxfId="3203" priority="432" operator="equal">
      <formula>"Purple"</formula>
    </cfRule>
    <cfRule type="cellIs" dxfId="3202" priority="433" operator="equal">
      <formula>"Dark Gray"</formula>
    </cfRule>
    <cfRule type="cellIs" dxfId="3201" priority="434" operator="equal">
      <formula>"Magenta"</formula>
    </cfRule>
    <cfRule type="cellIs" dxfId="3200" priority="435" operator="equal">
      <formula>"Gray"</formula>
    </cfRule>
    <cfRule type="cellIs" dxfId="3199" priority="436" operator="equal">
      <formula>"Black"</formula>
    </cfRule>
  </conditionalFormatting>
  <conditionalFormatting sqref="K139:K145">
    <cfRule type="cellIs" dxfId="3198" priority="417" operator="equal">
      <formula>"Brown"</formula>
    </cfRule>
    <cfRule type="cellIs" dxfId="3197" priority="418" operator="equal">
      <formula>"Amber"</formula>
    </cfRule>
    <cfRule type="cellIs" dxfId="3196" priority="419" operator="equal">
      <formula>"orange"</formula>
    </cfRule>
    <cfRule type="cellIs" dxfId="3195" priority="420" operator="equal">
      <formula>"Green"</formula>
    </cfRule>
    <cfRule type="cellIs" dxfId="3194" priority="421" operator="equal">
      <formula>"Blue"</formula>
    </cfRule>
    <cfRule type="cellIs" dxfId="3193" priority="422" operator="equal">
      <formula>"Purple"</formula>
    </cfRule>
    <cfRule type="cellIs" dxfId="3192" priority="423" operator="equal">
      <formula>"Dark Gray"</formula>
    </cfRule>
    <cfRule type="cellIs" dxfId="3191" priority="424" operator="equal">
      <formula>"Magenta"</formula>
    </cfRule>
    <cfRule type="cellIs" dxfId="3190" priority="425" operator="equal">
      <formula>"Gray"</formula>
    </cfRule>
    <cfRule type="cellIs" dxfId="3189" priority="426" operator="equal">
      <formula>"Black"</formula>
    </cfRule>
  </conditionalFormatting>
  <conditionalFormatting sqref="K147:K153">
    <cfRule type="cellIs" dxfId="3188" priority="407" operator="equal">
      <formula>"Brown"</formula>
    </cfRule>
    <cfRule type="cellIs" dxfId="3187" priority="408" operator="equal">
      <formula>"Amber"</formula>
    </cfRule>
    <cfRule type="cellIs" dxfId="3186" priority="409" operator="equal">
      <formula>"orange"</formula>
    </cfRule>
    <cfRule type="cellIs" dxfId="3185" priority="410" operator="equal">
      <formula>"Green"</formula>
    </cfRule>
    <cfRule type="cellIs" dxfId="3184" priority="411" operator="equal">
      <formula>"Blue"</formula>
    </cfRule>
    <cfRule type="cellIs" dxfId="3183" priority="412" operator="equal">
      <formula>"Purple"</formula>
    </cfRule>
    <cfRule type="cellIs" dxfId="3182" priority="413" operator="equal">
      <formula>"Dark Gray"</formula>
    </cfRule>
    <cfRule type="cellIs" dxfId="3181" priority="414" operator="equal">
      <formula>"Magenta"</formula>
    </cfRule>
    <cfRule type="cellIs" dxfId="3180" priority="415" operator="equal">
      <formula>"Gray"</formula>
    </cfRule>
    <cfRule type="cellIs" dxfId="3179" priority="416" operator="equal">
      <formula>"Black"</formula>
    </cfRule>
  </conditionalFormatting>
  <conditionalFormatting sqref="K155:K161">
    <cfRule type="cellIs" dxfId="3178" priority="397" operator="equal">
      <formula>"Brown"</formula>
    </cfRule>
    <cfRule type="cellIs" dxfId="3177" priority="398" operator="equal">
      <formula>"Amber"</formula>
    </cfRule>
    <cfRule type="cellIs" dxfId="3176" priority="399" operator="equal">
      <formula>"orange"</formula>
    </cfRule>
    <cfRule type="cellIs" dxfId="3175" priority="400" operator="equal">
      <formula>"Green"</formula>
    </cfRule>
    <cfRule type="cellIs" dxfId="3174" priority="401" operator="equal">
      <formula>"Blue"</formula>
    </cfRule>
    <cfRule type="cellIs" dxfId="3173" priority="402" operator="equal">
      <formula>"Purple"</formula>
    </cfRule>
    <cfRule type="cellIs" dxfId="3172" priority="403" operator="equal">
      <formula>"Dark Gray"</formula>
    </cfRule>
    <cfRule type="cellIs" dxfId="3171" priority="404" operator="equal">
      <formula>"Magenta"</formula>
    </cfRule>
    <cfRule type="cellIs" dxfId="3170" priority="405" operator="equal">
      <formula>"Gray"</formula>
    </cfRule>
    <cfRule type="cellIs" dxfId="3169" priority="406" operator="equal">
      <formula>"Black"</formula>
    </cfRule>
  </conditionalFormatting>
  <conditionalFormatting sqref="K163:K169">
    <cfRule type="cellIs" dxfId="3168" priority="387" operator="equal">
      <formula>"Brown"</formula>
    </cfRule>
    <cfRule type="cellIs" dxfId="3167" priority="388" operator="equal">
      <formula>"Amber"</formula>
    </cfRule>
    <cfRule type="cellIs" dxfId="3166" priority="389" operator="equal">
      <formula>"orange"</formula>
    </cfRule>
    <cfRule type="cellIs" dxfId="3165" priority="390" operator="equal">
      <formula>"Green"</formula>
    </cfRule>
    <cfRule type="cellIs" dxfId="3164" priority="391" operator="equal">
      <formula>"Blue"</formula>
    </cfRule>
    <cfRule type="cellIs" dxfId="3163" priority="392" operator="equal">
      <formula>"Purple"</formula>
    </cfRule>
    <cfRule type="cellIs" dxfId="3162" priority="393" operator="equal">
      <formula>"Dark Gray"</formula>
    </cfRule>
    <cfRule type="cellIs" dxfId="3161" priority="394" operator="equal">
      <formula>"Magenta"</formula>
    </cfRule>
    <cfRule type="cellIs" dxfId="3160" priority="395" operator="equal">
      <formula>"Gray"</formula>
    </cfRule>
    <cfRule type="cellIs" dxfId="3159" priority="396" operator="equal">
      <formula>"Black"</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bottomRight" activeCell="Z124" sqref="Z124"/>
      <selection pane="bottomLeft" activeCell="A4" sqref="A4"/>
      <selection pane="topRight" activeCell="B1" sqref="B1"/>
    </sheetView>
  </sheetViews>
  <sheetFormatPr defaultColWidth="9.140625" defaultRowHeight="14.45" outlineLevelRow="1"/>
  <cols>
    <col min="1" max="1" width="5.85546875" style="81" customWidth="1"/>
    <col min="2" max="2" width="20.140625" style="246" hidden="1" customWidth="1"/>
    <col min="3" max="3" width="29.140625" style="157"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5"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5" customWidth="1"/>
    <col min="22" max="22" width="41.85546875" style="3" customWidth="1"/>
    <col min="23" max="23" width="0.85546875" style="3" customWidth="1"/>
    <col min="24" max="24" width="4.28515625" style="340" customWidth="1"/>
    <col min="25" max="25" width="14.85546875" style="3" customWidth="1"/>
    <col min="26" max="26" width="26.7109375" style="157"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c r="A1" s="81"/>
      <c r="B1" s="246"/>
      <c r="C1" s="640" t="s">
        <v>95</v>
      </c>
      <c r="D1" s="640"/>
      <c r="E1" s="640"/>
      <c r="F1" s="640"/>
      <c r="G1" s="640"/>
      <c r="H1" s="640"/>
      <c r="I1" s="640"/>
      <c r="J1" s="10"/>
      <c r="K1" s="10"/>
      <c r="L1" s="10"/>
      <c r="M1" s="10"/>
      <c r="N1" s="10"/>
      <c r="R1" s="10"/>
      <c r="U1" s="25"/>
      <c r="X1" s="340"/>
      <c r="Z1" s="525"/>
    </row>
    <row r="2" spans="1:33" s="3" customFormat="1" ht="18.75" customHeight="1" thickBot="1">
      <c r="A2" s="81"/>
      <c r="B2" s="246"/>
      <c r="C2" s="525"/>
      <c r="H2" s="620" t="s">
        <v>163</v>
      </c>
      <c r="I2" s="621"/>
      <c r="J2" s="621"/>
      <c r="K2" s="621"/>
      <c r="L2" s="621"/>
      <c r="M2" s="621"/>
      <c r="N2" s="621"/>
      <c r="O2" s="621"/>
      <c r="P2" s="621"/>
      <c r="Q2" s="621"/>
      <c r="R2" s="621"/>
      <c r="S2" s="622"/>
      <c r="T2" s="621"/>
      <c r="U2" s="622"/>
      <c r="V2" s="623"/>
      <c r="W2" s="18"/>
      <c r="X2" s="340"/>
      <c r="Z2" s="525"/>
    </row>
    <row r="3" spans="1:33" s="12" customFormat="1" ht="37.5" customHeight="1" thickBot="1">
      <c r="A3" s="82"/>
      <c r="B3" s="246"/>
      <c r="C3" s="89" t="s">
        <v>164</v>
      </c>
      <c r="D3" s="13"/>
      <c r="E3" s="624" t="s">
        <v>165</v>
      </c>
      <c r="F3" s="625"/>
      <c r="G3" s="13"/>
      <c r="H3" s="616" t="s">
        <v>166</v>
      </c>
      <c r="I3" s="617"/>
      <c r="J3" s="613" t="s">
        <v>167</v>
      </c>
      <c r="K3" s="615"/>
      <c r="L3" s="613" t="s">
        <v>168</v>
      </c>
      <c r="M3" s="614"/>
      <c r="N3" s="615"/>
      <c r="O3" s="613" t="s">
        <v>169</v>
      </c>
      <c r="P3" s="614"/>
      <c r="Q3" s="614"/>
      <c r="R3" s="613" t="s">
        <v>170</v>
      </c>
      <c r="S3" s="614"/>
      <c r="T3" s="615"/>
      <c r="U3" s="613" t="s">
        <v>171</v>
      </c>
      <c r="V3" s="654"/>
      <c r="W3" s="19"/>
      <c r="X3" s="613" t="s">
        <v>172</v>
      </c>
      <c r="Y3" s="614"/>
      <c r="Z3" s="615"/>
      <c r="AA3" s="474"/>
      <c r="AB3" s="642" t="s">
        <v>173</v>
      </c>
      <c r="AC3" s="643"/>
      <c r="AD3" s="643"/>
      <c r="AE3" s="643"/>
      <c r="AF3" s="644"/>
      <c r="AG3" s="474"/>
    </row>
    <row r="4" spans="1:33" ht="284.45" hidden="1" customHeight="1" outlineLevel="1">
      <c r="A4" s="475" t="s">
        <v>125</v>
      </c>
      <c r="B4" s="200"/>
      <c r="C4" s="158" t="s">
        <v>174</v>
      </c>
      <c r="D4" s="135"/>
      <c r="E4" s="626" t="s">
        <v>175</v>
      </c>
      <c r="F4" s="627"/>
      <c r="G4" s="135"/>
      <c r="H4" s="634" t="s">
        <v>176</v>
      </c>
      <c r="I4" s="635"/>
      <c r="J4" s="628" t="s">
        <v>177</v>
      </c>
      <c r="K4" s="629"/>
      <c r="L4" s="630" t="s">
        <v>178</v>
      </c>
      <c r="M4" s="631"/>
      <c r="N4" s="632"/>
      <c r="O4" s="633" t="s">
        <v>179</v>
      </c>
      <c r="P4" s="633"/>
      <c r="Q4" s="633"/>
      <c r="R4" s="636" t="s">
        <v>180</v>
      </c>
      <c r="S4" s="637"/>
      <c r="T4" s="147"/>
      <c r="U4" s="630" t="s">
        <v>181</v>
      </c>
      <c r="V4" s="632"/>
      <c r="W4" s="136"/>
      <c r="X4" s="633" t="s">
        <v>182</v>
      </c>
      <c r="Y4" s="633"/>
      <c r="Z4" s="633"/>
      <c r="AA4" s="151"/>
      <c r="AB4" s="645" t="s">
        <v>183</v>
      </c>
      <c r="AC4" s="646"/>
      <c r="AD4" s="646"/>
      <c r="AE4" s="646"/>
      <c r="AF4" s="647"/>
      <c r="AG4"/>
    </row>
    <row r="5" spans="1:33" ht="40.5" hidden="1" customHeight="1" outlineLevel="1">
      <c r="A5" s="600" t="s">
        <v>133</v>
      </c>
      <c r="B5" s="200"/>
      <c r="C5" s="159"/>
      <c r="D5" s="140"/>
      <c r="E5" s="602" t="s">
        <v>184</v>
      </c>
      <c r="F5" s="602"/>
      <c r="G5" s="140"/>
      <c r="H5" s="607" t="s">
        <v>185</v>
      </c>
      <c r="I5" s="607"/>
      <c r="J5" s="610" t="s">
        <v>186</v>
      </c>
      <c r="K5" s="610"/>
      <c r="L5" s="602" t="s">
        <v>187</v>
      </c>
      <c r="M5" s="602"/>
      <c r="N5" s="602"/>
      <c r="O5" s="602" t="s">
        <v>187</v>
      </c>
      <c r="P5" s="602"/>
      <c r="Q5" s="573"/>
      <c r="R5" s="638" t="s">
        <v>188</v>
      </c>
      <c r="S5" s="639"/>
      <c r="T5" s="517"/>
      <c r="U5" s="602" t="s">
        <v>189</v>
      </c>
      <c r="V5" s="602"/>
      <c r="W5" s="517"/>
      <c r="X5" s="602" t="s">
        <v>190</v>
      </c>
      <c r="Y5" s="602"/>
      <c r="Z5" s="602"/>
      <c r="AA5" s="517"/>
      <c r="AB5" s="648" t="s">
        <v>191</v>
      </c>
      <c r="AC5" s="602"/>
      <c r="AD5" s="602"/>
      <c r="AE5" s="602"/>
      <c r="AF5" s="649"/>
      <c r="AG5"/>
    </row>
    <row r="6" spans="1:33" ht="60.6" hidden="1" customHeight="1" outlineLevel="1">
      <c r="A6" s="600"/>
      <c r="B6" s="200"/>
      <c r="C6" s="159"/>
      <c r="D6" s="140"/>
      <c r="E6" s="603"/>
      <c r="F6" s="603"/>
      <c r="G6" s="140"/>
      <c r="H6" s="602" t="s">
        <v>192</v>
      </c>
      <c r="I6" s="602"/>
      <c r="J6" s="602" t="s">
        <v>193</v>
      </c>
      <c r="K6" s="602"/>
      <c r="L6" s="612"/>
      <c r="M6" s="612"/>
      <c r="N6" s="612"/>
      <c r="O6" s="602" t="s">
        <v>194</v>
      </c>
      <c r="P6" s="602"/>
      <c r="Q6" s="573"/>
      <c r="R6" s="612"/>
      <c r="S6" s="612"/>
      <c r="T6" s="517"/>
      <c r="U6" s="612"/>
      <c r="V6" s="612"/>
      <c r="W6" s="517"/>
      <c r="X6" s="612"/>
      <c r="Y6" s="612"/>
      <c r="Z6" s="612"/>
      <c r="AA6" s="517"/>
      <c r="AB6" s="648" t="s">
        <v>195</v>
      </c>
      <c r="AC6" s="602"/>
      <c r="AD6" s="602"/>
      <c r="AE6" s="602"/>
      <c r="AF6" s="649"/>
      <c r="AG6"/>
    </row>
    <row r="7" spans="1:33" ht="44.45" hidden="1" customHeight="1" outlineLevel="1">
      <c r="A7" s="600"/>
      <c r="B7" s="200"/>
      <c r="C7" s="159"/>
      <c r="D7" s="140"/>
      <c r="E7" s="603"/>
      <c r="F7" s="603"/>
      <c r="G7" s="140"/>
      <c r="H7" s="603"/>
      <c r="I7" s="603"/>
      <c r="J7" s="603"/>
      <c r="K7" s="603"/>
      <c r="L7" s="612"/>
      <c r="M7" s="612"/>
      <c r="N7" s="612"/>
      <c r="O7" s="612"/>
      <c r="P7" s="612"/>
      <c r="Q7" s="618"/>
      <c r="R7" s="612"/>
      <c r="S7" s="612"/>
      <c r="T7" s="517"/>
      <c r="U7" s="612"/>
      <c r="V7" s="612"/>
      <c r="W7" s="517"/>
      <c r="X7" s="612"/>
      <c r="Y7" s="612"/>
      <c r="Z7" s="612"/>
      <c r="AA7" s="517"/>
      <c r="AB7" s="648" t="s">
        <v>196</v>
      </c>
      <c r="AC7" s="612"/>
      <c r="AD7" s="612"/>
      <c r="AE7" s="612"/>
      <c r="AF7" s="650"/>
      <c r="AG7"/>
    </row>
    <row r="8" spans="1:33" ht="18.95" hidden="1" customHeight="1" outlineLevel="1">
      <c r="A8" s="600"/>
      <c r="B8" s="200"/>
      <c r="C8" s="160"/>
      <c r="D8" s="142"/>
      <c r="E8" s="604"/>
      <c r="F8" s="605"/>
      <c r="G8" s="142"/>
      <c r="H8" s="603"/>
      <c r="I8" s="603"/>
      <c r="J8" s="603"/>
      <c r="K8" s="603"/>
      <c r="L8" s="612"/>
      <c r="M8" s="612"/>
      <c r="N8" s="612"/>
      <c r="O8" s="612"/>
      <c r="P8" s="612"/>
      <c r="Q8" s="618"/>
      <c r="R8" s="612"/>
      <c r="S8" s="612"/>
      <c r="T8" s="496"/>
      <c r="U8" s="612"/>
      <c r="V8" s="612"/>
      <c r="W8" s="480"/>
      <c r="X8" s="641"/>
      <c r="Y8" s="611"/>
      <c r="Z8" s="619"/>
      <c r="AA8" s="507"/>
      <c r="AB8" s="651"/>
      <c r="AC8" s="612"/>
      <c r="AD8" s="612"/>
      <c r="AE8" s="612"/>
      <c r="AF8" s="650"/>
      <c r="AG8"/>
    </row>
    <row r="9" spans="1:33" ht="18.95" hidden="1" customHeight="1" outlineLevel="1" thickBot="1">
      <c r="A9" s="601"/>
      <c r="B9" s="200"/>
      <c r="C9" s="183"/>
      <c r="D9" s="142"/>
      <c r="E9" s="606"/>
      <c r="F9" s="606"/>
      <c r="G9" s="142"/>
      <c r="H9" s="609"/>
      <c r="I9" s="609"/>
      <c r="J9" s="609"/>
      <c r="K9" s="609"/>
      <c r="L9" s="611"/>
      <c r="M9" s="611"/>
      <c r="N9" s="611"/>
      <c r="O9" s="611"/>
      <c r="P9" s="611"/>
      <c r="Q9" s="619"/>
      <c r="R9" s="611"/>
      <c r="S9" s="611"/>
      <c r="T9" s="496"/>
      <c r="U9" s="611"/>
      <c r="V9" s="611"/>
      <c r="W9" s="480"/>
      <c r="X9" s="611"/>
      <c r="Y9" s="611"/>
      <c r="Z9" s="611"/>
      <c r="AA9" s="507"/>
      <c r="AB9" s="652"/>
      <c r="AC9" s="611"/>
      <c r="AD9" s="611"/>
      <c r="AE9" s="611"/>
      <c r="AF9" s="653"/>
      <c r="AG9"/>
    </row>
    <row r="10" spans="1:33" s="12" customFormat="1" ht="29.45" customHeight="1" collapsed="1">
      <c r="A10" s="597">
        <v>1</v>
      </c>
      <c r="B10" s="246">
        <f>A10+10</f>
        <v>11</v>
      </c>
      <c r="C10" s="608" t="str">
        <f>VLOOKUP(A10,INputs!$G$3:$O$22,7,FALSE)</f>
        <v>Label-Public</v>
      </c>
      <c r="D10" s="498"/>
      <c r="E10" s="498"/>
      <c r="F10" s="487" t="s">
        <v>141</v>
      </c>
      <c r="G10" s="170"/>
      <c r="H10" s="583" t="s">
        <v>141</v>
      </c>
      <c r="I10" s="583"/>
      <c r="J10" s="584" t="s">
        <v>197</v>
      </c>
      <c r="K10" s="584"/>
      <c r="L10" s="584" t="s">
        <v>141</v>
      </c>
      <c r="M10" s="584"/>
      <c r="N10" s="584"/>
      <c r="O10" s="584" t="s">
        <v>141</v>
      </c>
      <c r="P10" s="584"/>
      <c r="Q10" s="584"/>
      <c r="R10" s="588" t="s">
        <v>198</v>
      </c>
      <c r="S10" s="588"/>
      <c r="T10" s="344" t="s">
        <v>140</v>
      </c>
      <c r="U10" s="589" t="s">
        <v>199</v>
      </c>
      <c r="V10" s="589"/>
      <c r="W10" s="42"/>
      <c r="X10" s="341"/>
      <c r="Y10" s="582" t="s">
        <v>141</v>
      </c>
      <c r="Z10" s="582"/>
      <c r="AA10" s="43"/>
      <c r="AB10" s="583"/>
      <c r="AC10" s="583"/>
      <c r="AD10" s="584" t="s">
        <v>200</v>
      </c>
      <c r="AE10" s="584"/>
      <c r="AF10" s="44"/>
      <c r="AG10" s="499"/>
    </row>
    <row r="11" spans="1:33" s="12" customFormat="1" ht="12" customHeight="1">
      <c r="A11" s="598"/>
      <c r="B11" s="246">
        <f>B10+1</f>
        <v>12</v>
      </c>
      <c r="C11" s="592"/>
      <c r="D11" s="502"/>
      <c r="E11" s="502"/>
      <c r="F11" s="492"/>
      <c r="G11" s="179"/>
      <c r="H11" s="492"/>
      <c r="I11" s="492"/>
      <c r="J11" s="493"/>
      <c r="K11" s="493"/>
      <c r="L11" s="493"/>
      <c r="M11" s="493"/>
      <c r="N11" s="493"/>
      <c r="O11" s="493"/>
      <c r="P11" s="493"/>
      <c r="Q11" s="493"/>
      <c r="R11" s="581"/>
      <c r="S11" s="581"/>
      <c r="T11" s="581"/>
      <c r="U11" s="472"/>
      <c r="V11" s="491"/>
      <c r="W11" s="185"/>
      <c r="X11" s="343"/>
      <c r="Y11" s="488"/>
      <c r="Z11" s="488"/>
      <c r="AA11" s="499"/>
      <c r="AB11" s="492"/>
      <c r="AC11" s="468" t="s">
        <v>141</v>
      </c>
      <c r="AD11" s="492"/>
      <c r="AE11" s="579"/>
      <c r="AF11" s="46"/>
      <c r="AG11" s="499"/>
    </row>
    <row r="12" spans="1:33" s="3" customFormat="1" ht="30.6">
      <c r="A12" s="598"/>
      <c r="B12" s="246">
        <f t="shared" ref="B12:B18" si="0">B11+1</f>
        <v>13</v>
      </c>
      <c r="C12" s="592"/>
      <c r="E12" s="171" t="b">
        <v>0</v>
      </c>
      <c r="F12" s="3" t="s">
        <v>201</v>
      </c>
      <c r="H12" s="171" t="b">
        <v>0</v>
      </c>
      <c r="I12" s="180" t="s">
        <v>202</v>
      </c>
      <c r="J12" s="172" t="b">
        <v>0</v>
      </c>
      <c r="K12" s="173" t="s">
        <v>203</v>
      </c>
      <c r="L12" s="174" t="b">
        <v>0</v>
      </c>
      <c r="M12" s="8" t="s">
        <v>204</v>
      </c>
      <c r="N12" s="182"/>
      <c r="O12" s="174" t="b">
        <v>0</v>
      </c>
      <c r="P12" s="8" t="s">
        <v>205</v>
      </c>
      <c r="Q12" s="8"/>
      <c r="R12" s="581"/>
      <c r="S12" s="581"/>
      <c r="T12" s="581"/>
      <c r="U12" s="581"/>
      <c r="V12" s="581"/>
      <c r="W12" s="185"/>
      <c r="X12" s="175" t="b">
        <v>0</v>
      </c>
      <c r="Y12" s="176" t="s">
        <v>206</v>
      </c>
      <c r="Z12" s="500"/>
      <c r="AA12" s="14"/>
      <c r="AB12" s="467" t="b">
        <v>0</v>
      </c>
      <c r="AC12" s="340" t="s">
        <v>207</v>
      </c>
      <c r="AD12" s="14"/>
      <c r="AE12" s="579"/>
      <c r="AF12" s="45"/>
      <c r="AG12" s="14"/>
    </row>
    <row r="13" spans="1:33" s="3" customFormat="1" ht="32.1" customHeight="1">
      <c r="A13" s="598"/>
      <c r="B13" s="246">
        <f t="shared" si="0"/>
        <v>14</v>
      </c>
      <c r="C13" s="592"/>
      <c r="E13" s="171" t="b">
        <v>0</v>
      </c>
      <c r="F13" s="168" t="s">
        <v>208</v>
      </c>
      <c r="H13" s="14"/>
      <c r="I13" s="180"/>
      <c r="J13" s="175" t="b">
        <v>0</v>
      </c>
      <c r="K13" s="594" t="s">
        <v>209</v>
      </c>
      <c r="L13" s="175" t="b">
        <v>0</v>
      </c>
      <c r="M13" s="176" t="s">
        <v>210</v>
      </c>
      <c r="N13" s="338">
        <v>44197</v>
      </c>
      <c r="O13" s="175" t="b">
        <v>0</v>
      </c>
      <c r="P13" s="176" t="s">
        <v>204</v>
      </c>
      <c r="Q13" s="176"/>
      <c r="R13" s="174" t="b">
        <v>0</v>
      </c>
      <c r="S13" s="8" t="s">
        <v>211</v>
      </c>
      <c r="T13" s="8" t="s">
        <v>140</v>
      </c>
      <c r="U13" s="175" t="b">
        <v>0</v>
      </c>
      <c r="V13" s="491" t="s">
        <v>212</v>
      </c>
      <c r="W13" s="184"/>
      <c r="X13" s="175" t="b">
        <v>0</v>
      </c>
      <c r="Y13" s="339" t="s">
        <v>213</v>
      </c>
      <c r="Z13" s="500"/>
      <c r="AA13" s="14"/>
      <c r="AB13" s="186"/>
      <c r="AC13" s="492" t="s">
        <v>142</v>
      </c>
      <c r="AD13" s="179"/>
      <c r="AE13" s="493" t="s">
        <v>214</v>
      </c>
      <c r="AF13" s="46"/>
      <c r="AG13" s="14"/>
    </row>
    <row r="14" spans="1:33" s="3" customFormat="1" ht="15.6" customHeight="1">
      <c r="A14" s="598"/>
      <c r="B14" s="246">
        <f t="shared" si="0"/>
        <v>15</v>
      </c>
      <c r="C14" s="592"/>
      <c r="E14" s="171" t="b">
        <v>0</v>
      </c>
      <c r="F14" s="595" t="s">
        <v>215</v>
      </c>
      <c r="H14" s="171" t="b">
        <v>0</v>
      </c>
      <c r="I14" s="180" t="s">
        <v>216</v>
      </c>
      <c r="J14" s="176"/>
      <c r="K14" s="594"/>
      <c r="L14" s="174" t="b">
        <v>0</v>
      </c>
      <c r="M14" s="39" t="s">
        <v>217</v>
      </c>
      <c r="N14" s="523">
        <v>78</v>
      </c>
      <c r="O14" s="174" t="b">
        <v>0</v>
      </c>
      <c r="P14" s="8" t="s">
        <v>217</v>
      </c>
      <c r="Q14" s="523">
        <v>76</v>
      </c>
      <c r="R14" s="581"/>
      <c r="S14" s="581"/>
      <c r="T14" s="581"/>
      <c r="U14" s="590" t="s">
        <v>141</v>
      </c>
      <c r="V14" s="590"/>
      <c r="W14" s="590"/>
      <c r="X14" s="175" t="b">
        <v>0</v>
      </c>
      <c r="Y14" s="8" t="s">
        <v>218</v>
      </c>
      <c r="Z14" s="585"/>
      <c r="AA14" s="14"/>
      <c r="AB14" s="186"/>
      <c r="AC14" s="20"/>
      <c r="AD14" s="14"/>
      <c r="AE14" s="580"/>
      <c r="AF14" s="45"/>
      <c r="AG14" s="14"/>
    </row>
    <row r="15" spans="1:33" s="3" customFormat="1" ht="29.1" customHeight="1">
      <c r="A15" s="598"/>
      <c r="B15" s="246">
        <f t="shared" si="0"/>
        <v>16</v>
      </c>
      <c r="C15" s="592"/>
      <c r="F15" s="595"/>
      <c r="H15" s="14"/>
      <c r="I15" s="14"/>
      <c r="J15" s="176"/>
      <c r="K15" s="8"/>
      <c r="L15" s="14"/>
      <c r="M15" s="14"/>
      <c r="N15" s="187"/>
      <c r="O15" s="8"/>
      <c r="P15" s="8"/>
      <c r="Q15" s="8"/>
      <c r="R15" s="581"/>
      <c r="S15" s="581"/>
      <c r="T15" s="581"/>
      <c r="U15" s="175" t="b">
        <v>0</v>
      </c>
      <c r="V15" s="176" t="s">
        <v>219</v>
      </c>
      <c r="W15" s="185"/>
      <c r="X15" s="340"/>
      <c r="Y15" s="14"/>
      <c r="Z15" s="585"/>
      <c r="AA15" s="14"/>
      <c r="AB15" s="14"/>
      <c r="AC15" s="14"/>
      <c r="AD15" s="14"/>
      <c r="AE15" s="580"/>
      <c r="AF15" s="45"/>
      <c r="AG15" s="14"/>
    </row>
    <row r="16" spans="1:33" s="3" customFormat="1" ht="30" customHeight="1">
      <c r="A16" s="598"/>
      <c r="B16" s="246">
        <f t="shared" si="0"/>
        <v>17</v>
      </c>
      <c r="C16" s="592"/>
      <c r="E16"/>
      <c r="H16" s="14"/>
      <c r="I16" s="14"/>
      <c r="J16" s="326"/>
      <c r="K16" s="182"/>
      <c r="L16" s="182"/>
      <c r="M16" s="182"/>
      <c r="N16" s="182"/>
      <c r="O16" s="8"/>
      <c r="P16" s="8"/>
      <c r="Q16" s="8"/>
      <c r="R16" s="174" t="b">
        <v>0</v>
      </c>
      <c r="S16" s="8" t="s">
        <v>220</v>
      </c>
      <c r="T16" s="8" t="s">
        <v>140</v>
      </c>
      <c r="U16" s="581"/>
      <c r="V16" s="581"/>
      <c r="X16" s="340"/>
      <c r="Y16" s="14"/>
      <c r="Z16" s="322"/>
      <c r="AA16" s="14"/>
      <c r="AB16" s="14"/>
      <c r="AC16" s="14"/>
      <c r="AD16" s="14"/>
      <c r="AE16" s="14"/>
      <c r="AF16" s="45"/>
      <c r="AG16" s="14"/>
    </row>
    <row r="17" spans="1:33" s="3" customFormat="1">
      <c r="A17" s="598"/>
      <c r="B17" s="246">
        <f t="shared" si="0"/>
        <v>18</v>
      </c>
      <c r="C17" s="592"/>
      <c r="E17"/>
      <c r="H17" s="181"/>
      <c r="I17" s="14"/>
      <c r="J17" s="326"/>
      <c r="K17" s="182"/>
      <c r="L17" s="182"/>
      <c r="M17" s="182"/>
      <c r="N17" s="182"/>
      <c r="O17" s="8"/>
      <c r="P17" s="8"/>
      <c r="Q17" s="8"/>
      <c r="R17" s="581"/>
      <c r="S17" s="581"/>
      <c r="T17" s="581"/>
      <c r="U17" s="175" t="b">
        <v>0</v>
      </c>
      <c r="V17" s="8" t="s">
        <v>221</v>
      </c>
      <c r="W17" s="8"/>
      <c r="X17" s="340"/>
      <c r="Y17" s="14"/>
      <c r="Z17" s="322"/>
      <c r="AA17" s="14"/>
      <c r="AB17" s="14"/>
      <c r="AC17" s="14"/>
      <c r="AD17" s="14"/>
      <c r="AE17" s="14"/>
      <c r="AF17" s="45"/>
      <c r="AG17" s="14"/>
    </row>
    <row r="18" spans="1:33" s="3" customFormat="1" ht="30" customHeight="1" thickBot="1">
      <c r="A18" s="599"/>
      <c r="B18" s="246">
        <f t="shared" si="0"/>
        <v>19</v>
      </c>
      <c r="C18" s="593"/>
      <c r="D18" s="47"/>
      <c r="E18" s="47"/>
      <c r="F18" s="47"/>
      <c r="G18" s="47"/>
      <c r="H18" s="48"/>
      <c r="I18" s="48"/>
      <c r="J18" s="327"/>
      <c r="K18" s="49"/>
      <c r="L18" s="49"/>
      <c r="M18" s="49"/>
      <c r="N18" s="49"/>
      <c r="O18" s="50"/>
      <c r="P18" s="50"/>
      <c r="Q18" s="50"/>
      <c r="R18" s="581"/>
      <c r="S18" s="581"/>
      <c r="T18" s="581"/>
      <c r="U18" s="581"/>
      <c r="V18" s="581"/>
      <c r="W18" s="50"/>
      <c r="X18" s="342"/>
      <c r="Y18" s="48"/>
      <c r="Z18" s="323"/>
      <c r="AA18" s="48"/>
      <c r="AB18" s="48"/>
      <c r="AC18" s="48"/>
      <c r="AD18" s="48"/>
      <c r="AE18" s="48"/>
      <c r="AF18" s="51"/>
      <c r="AG18" s="14"/>
    </row>
    <row r="19" spans="1:33" ht="15" hidden="1" customHeight="1" thickBot="1">
      <c r="A19" s="79"/>
      <c r="B19" s="200"/>
      <c r="C19" s="332"/>
      <c r="D19" s="197"/>
      <c r="E19" s="197"/>
      <c r="F19" s="197"/>
      <c r="G19" s="197"/>
      <c r="H19" s="197"/>
      <c r="I19" s="197"/>
      <c r="J19" s="330"/>
      <c r="K19" s="197"/>
      <c r="L19" s="197"/>
      <c r="M19" s="197"/>
      <c r="N19" s="197"/>
      <c r="O19" s="197"/>
      <c r="P19" s="197"/>
      <c r="Q19" s="197"/>
      <c r="R19" s="189"/>
      <c r="S19" s="189"/>
      <c r="T19" s="189"/>
      <c r="U19" s="330"/>
      <c r="V19" s="197"/>
      <c r="W19" s="197"/>
      <c r="X19" s="330"/>
      <c r="Y19" s="197"/>
      <c r="Z19" s="331"/>
      <c r="AA19" s="197"/>
      <c r="AB19" s="197"/>
      <c r="AC19" s="197"/>
      <c r="AD19" s="197"/>
      <c r="AE19" s="197"/>
      <c r="AF19" s="261"/>
      <c r="AG19"/>
    </row>
    <row r="20" spans="1:33" ht="5.0999999999999996" customHeight="1" thickBot="1">
      <c r="A20" s="79"/>
      <c r="B20" s="200"/>
      <c r="C20" s="332"/>
      <c r="D20" s="197"/>
      <c r="E20" s="197"/>
      <c r="F20" s="197"/>
      <c r="G20" s="197"/>
      <c r="H20" s="197"/>
      <c r="I20" s="197"/>
      <c r="J20" s="330"/>
      <c r="K20" s="197"/>
      <c r="L20" s="197"/>
      <c r="M20" s="197"/>
      <c r="N20" s="197"/>
      <c r="O20" s="197"/>
      <c r="P20" s="197"/>
      <c r="Q20" s="197"/>
      <c r="R20" s="197"/>
      <c r="S20" s="197"/>
      <c r="T20" s="197"/>
      <c r="U20" s="330"/>
      <c r="V20" s="197"/>
      <c r="W20" s="197"/>
      <c r="X20" s="330"/>
      <c r="Y20" s="197"/>
      <c r="Z20" s="331"/>
      <c r="AA20" s="197"/>
      <c r="AB20" s="197"/>
      <c r="AC20" s="197"/>
      <c r="AD20" s="197"/>
      <c r="AE20" s="197"/>
      <c r="AF20" s="261"/>
      <c r="AG20" s="79"/>
    </row>
    <row r="21" spans="1:33" ht="15" hidden="1" customHeight="1" thickBot="1">
      <c r="A21" s="79"/>
      <c r="B21" s="200"/>
      <c r="C21" s="332"/>
      <c r="D21" s="197"/>
      <c r="E21" s="197"/>
      <c r="F21" s="197"/>
      <c r="G21" s="197"/>
      <c r="H21" s="197"/>
      <c r="I21" s="197"/>
      <c r="J21" s="330"/>
      <c r="K21" s="197"/>
      <c r="L21" s="197"/>
      <c r="M21" s="197"/>
      <c r="N21" s="197"/>
      <c r="O21" s="197"/>
      <c r="P21" s="197"/>
      <c r="Q21" s="197"/>
      <c r="R21" s="197"/>
      <c r="S21" s="197"/>
      <c r="T21" s="197"/>
      <c r="U21" s="330"/>
      <c r="V21" s="197"/>
      <c r="W21" s="197"/>
      <c r="X21" s="330"/>
      <c r="Y21" s="197"/>
      <c r="Z21" s="331"/>
      <c r="AA21" s="197"/>
      <c r="AB21" s="197"/>
      <c r="AC21" s="197"/>
      <c r="AD21" s="197"/>
      <c r="AE21" s="197"/>
      <c r="AF21" s="261"/>
      <c r="AG21"/>
    </row>
    <row r="22" spans="1:33" s="12" customFormat="1" ht="29.1" customHeight="1">
      <c r="A22" s="597">
        <f>A10+1</f>
        <v>2</v>
      </c>
      <c r="B22" s="246">
        <f>B10+10</f>
        <v>21</v>
      </c>
      <c r="C22" s="591" t="str">
        <f>VLOOKUP(A22,INputs!$G$3:$O$22,7,FALSE)</f>
        <v>Label-General</v>
      </c>
      <c r="D22" s="502"/>
      <c r="E22" s="502"/>
      <c r="F22" s="587" t="s">
        <v>141</v>
      </c>
      <c r="G22" s="587"/>
      <c r="H22" s="587" t="s">
        <v>141</v>
      </c>
      <c r="I22" s="587"/>
      <c r="J22" s="579" t="str">
        <f>J$10</f>
        <v>Select a check box</v>
      </c>
      <c r="K22" s="579"/>
      <c r="L22" s="579" t="s">
        <v>141</v>
      </c>
      <c r="M22" s="579"/>
      <c r="N22" s="579"/>
      <c r="O22" s="579" t="s">
        <v>141</v>
      </c>
      <c r="P22" s="579"/>
      <c r="Q22" s="579"/>
      <c r="R22" s="588" t="s">
        <v>198</v>
      </c>
      <c r="S22" s="588"/>
      <c r="T22" s="344" t="s">
        <v>140</v>
      </c>
      <c r="U22" s="589" t="s">
        <v>199</v>
      </c>
      <c r="V22" s="589"/>
      <c r="W22" s="42"/>
      <c r="X22" s="343"/>
      <c r="Y22" s="586" t="s">
        <v>141</v>
      </c>
      <c r="Z22" s="586"/>
      <c r="AA22" s="499"/>
      <c r="AB22" s="587"/>
      <c r="AC22" s="587"/>
      <c r="AD22" s="584" t="s">
        <v>200</v>
      </c>
      <c r="AE22" s="584"/>
      <c r="AF22" s="46"/>
      <c r="AG22" s="499"/>
    </row>
    <row r="23" spans="1:33" s="12" customFormat="1">
      <c r="A23" s="598"/>
      <c r="B23" s="246">
        <f>B22+1</f>
        <v>22</v>
      </c>
      <c r="C23" s="592"/>
      <c r="D23" s="502"/>
      <c r="E23" s="502"/>
      <c r="F23" s="492"/>
      <c r="G23" s="492"/>
      <c r="H23" s="492"/>
      <c r="I23" s="492"/>
      <c r="J23" s="493"/>
      <c r="K23" s="493"/>
      <c r="L23" s="493"/>
      <c r="M23" s="493"/>
      <c r="N23" s="493"/>
      <c r="O23" s="493"/>
      <c r="P23" s="493"/>
      <c r="Q23" s="493"/>
      <c r="R23" s="581"/>
      <c r="S23" s="581"/>
      <c r="T23" s="581"/>
      <c r="U23" s="472"/>
      <c r="V23" s="491" t="s">
        <v>142</v>
      </c>
      <c r="W23" s="185"/>
      <c r="X23" s="343"/>
      <c r="Y23" s="488"/>
      <c r="Z23" s="488"/>
      <c r="AA23" s="499"/>
      <c r="AB23" s="492"/>
      <c r="AC23" s="468" t="s">
        <v>141</v>
      </c>
      <c r="AD23" s="492"/>
      <c r="AE23" s="579"/>
      <c r="AF23" s="46"/>
      <c r="AG23" s="499"/>
    </row>
    <row r="24" spans="1:33" s="3" customFormat="1" ht="30.6" customHeight="1">
      <c r="A24" s="598"/>
      <c r="B24" s="246">
        <f t="shared" ref="B24:B30" si="1">B23+1</f>
        <v>23</v>
      </c>
      <c r="C24" s="592"/>
      <c r="E24" s="171" t="b">
        <v>0</v>
      </c>
      <c r="F24" s="3" t="s">
        <v>201</v>
      </c>
      <c r="H24" s="171" t="b">
        <v>0</v>
      </c>
      <c r="I24" s="180" t="s">
        <v>202</v>
      </c>
      <c r="J24" s="172" t="b">
        <v>0</v>
      </c>
      <c r="K24" s="173" t="s">
        <v>203</v>
      </c>
      <c r="L24" s="174" t="b">
        <v>0</v>
      </c>
      <c r="M24" s="8" t="s">
        <v>204</v>
      </c>
      <c r="N24" s="182"/>
      <c r="O24" s="174" t="b">
        <v>0</v>
      </c>
      <c r="P24" s="8" t="s">
        <v>205</v>
      </c>
      <c r="Q24" s="8"/>
      <c r="R24" s="581"/>
      <c r="S24" s="581"/>
      <c r="T24" s="581"/>
      <c r="U24" s="581"/>
      <c r="V24" s="581"/>
      <c r="W24" s="185"/>
      <c r="X24" s="175" t="b">
        <v>0</v>
      </c>
      <c r="Y24" s="176" t="s">
        <v>206</v>
      </c>
      <c r="Z24" s="500"/>
      <c r="AA24" s="180"/>
      <c r="AB24" s="467" t="b">
        <v>0</v>
      </c>
      <c r="AC24" s="340" t="s">
        <v>207</v>
      </c>
      <c r="AD24" s="14"/>
      <c r="AE24" s="579"/>
      <c r="AF24" s="45"/>
      <c r="AG24" s="14"/>
    </row>
    <row r="25" spans="1:33" s="3" customFormat="1" ht="32.1" customHeight="1">
      <c r="A25" s="598"/>
      <c r="B25" s="246">
        <f t="shared" si="1"/>
        <v>24</v>
      </c>
      <c r="C25" s="592"/>
      <c r="E25" s="171" t="b">
        <v>0</v>
      </c>
      <c r="F25" s="168" t="s">
        <v>208</v>
      </c>
      <c r="H25" s="14"/>
      <c r="I25" s="180"/>
      <c r="J25" s="175" t="b">
        <v>0</v>
      </c>
      <c r="K25" s="594" t="s">
        <v>209</v>
      </c>
      <c r="L25" s="175" t="b">
        <v>0</v>
      </c>
      <c r="M25" s="176" t="s">
        <v>210</v>
      </c>
      <c r="N25" s="338">
        <v>44197</v>
      </c>
      <c r="O25" s="175" t="b">
        <v>0</v>
      </c>
      <c r="P25" s="176" t="s">
        <v>204</v>
      </c>
      <c r="Q25" s="176"/>
      <c r="R25" s="174" t="b">
        <v>0</v>
      </c>
      <c r="S25" s="8" t="s">
        <v>211</v>
      </c>
      <c r="T25" s="8" t="s">
        <v>140</v>
      </c>
      <c r="U25" s="175" t="b">
        <v>0</v>
      </c>
      <c r="V25" s="491" t="s">
        <v>212</v>
      </c>
      <c r="W25" s="184"/>
      <c r="X25" s="175" t="b">
        <v>0</v>
      </c>
      <c r="Y25" s="176" t="s">
        <v>213</v>
      </c>
      <c r="Z25" s="500"/>
      <c r="AA25" s="14"/>
      <c r="AB25" s="186"/>
      <c r="AC25" s="492" t="s">
        <v>142</v>
      </c>
      <c r="AD25" s="179"/>
      <c r="AE25" s="493" t="s">
        <v>214</v>
      </c>
      <c r="AF25" s="46"/>
      <c r="AG25" s="14"/>
    </row>
    <row r="26" spans="1:33" s="3" customFormat="1" ht="14.45" customHeight="1">
      <c r="A26" s="598"/>
      <c r="B26" s="246">
        <f t="shared" si="1"/>
        <v>25</v>
      </c>
      <c r="C26" s="592"/>
      <c r="E26" s="171" t="b">
        <v>0</v>
      </c>
      <c r="F26" s="595" t="s">
        <v>215</v>
      </c>
      <c r="H26" s="171" t="b">
        <v>0</v>
      </c>
      <c r="I26" s="180" t="s">
        <v>216</v>
      </c>
      <c r="J26" s="176"/>
      <c r="K26" s="594"/>
      <c r="L26" s="174" t="b">
        <v>0</v>
      </c>
      <c r="M26" s="39" t="s">
        <v>217</v>
      </c>
      <c r="N26" s="523">
        <v>6</v>
      </c>
      <c r="O26" s="174" t="b">
        <v>0</v>
      </c>
      <c r="P26" s="8" t="s">
        <v>217</v>
      </c>
      <c r="Q26" s="523">
        <v>7</v>
      </c>
      <c r="R26" s="581"/>
      <c r="S26" s="581"/>
      <c r="T26" s="581"/>
      <c r="U26" s="590" t="s">
        <v>141</v>
      </c>
      <c r="V26" s="590"/>
      <c r="W26" s="590"/>
      <c r="X26" s="175" t="b">
        <v>0</v>
      </c>
      <c r="Y26" s="8" t="s">
        <v>218</v>
      </c>
      <c r="Z26" s="581"/>
      <c r="AA26" s="14"/>
      <c r="AB26" s="186"/>
      <c r="AC26" s="20"/>
      <c r="AD26" s="14"/>
      <c r="AE26" s="580"/>
      <c r="AF26" s="45"/>
      <c r="AG26" s="14"/>
    </row>
    <row r="27" spans="1:33" s="3" customFormat="1" ht="33.950000000000003" customHeight="1">
      <c r="A27" s="598"/>
      <c r="B27" s="246">
        <f t="shared" si="1"/>
        <v>26</v>
      </c>
      <c r="C27" s="592"/>
      <c r="F27" s="595"/>
      <c r="H27" s="14"/>
      <c r="I27" s="14"/>
      <c r="J27" s="176"/>
      <c r="K27" s="8"/>
      <c r="L27" s="14"/>
      <c r="M27" s="14"/>
      <c r="N27" s="187"/>
      <c r="O27" s="8"/>
      <c r="P27" s="8"/>
      <c r="Q27" s="8"/>
      <c r="R27" s="581"/>
      <c r="S27" s="581"/>
      <c r="T27" s="581"/>
      <c r="U27" s="175" t="b">
        <v>0</v>
      </c>
      <c r="V27" s="176" t="s">
        <v>219</v>
      </c>
      <c r="W27" s="185"/>
      <c r="X27" s="340"/>
      <c r="Y27" s="14"/>
      <c r="Z27" s="581"/>
      <c r="AA27" s="14"/>
      <c r="AB27" s="14"/>
      <c r="AC27" s="14"/>
      <c r="AD27" s="14"/>
      <c r="AE27" s="580"/>
      <c r="AF27" s="45"/>
      <c r="AG27" s="14"/>
    </row>
    <row r="28" spans="1:33" s="3" customFormat="1" ht="30" customHeight="1">
      <c r="A28" s="598"/>
      <c r="B28" s="246">
        <f t="shared" si="1"/>
        <v>27</v>
      </c>
      <c r="C28" s="592"/>
      <c r="E28"/>
      <c r="H28" s="14"/>
      <c r="I28" s="14"/>
      <c r="J28" s="326"/>
      <c r="K28" s="182"/>
      <c r="L28" s="182"/>
      <c r="M28" s="182"/>
      <c r="N28" s="182"/>
      <c r="O28" s="8"/>
      <c r="P28" s="8"/>
      <c r="Q28" s="8"/>
      <c r="R28" s="174" t="b">
        <v>0</v>
      </c>
      <c r="S28" s="8" t="s">
        <v>220</v>
      </c>
      <c r="T28" s="8" t="s">
        <v>140</v>
      </c>
      <c r="U28" s="540"/>
      <c r="V28" s="540"/>
      <c r="X28" s="340"/>
      <c r="Y28" s="14"/>
      <c r="Z28" s="322"/>
      <c r="AA28" s="14"/>
      <c r="AB28" s="14"/>
      <c r="AC28" s="14"/>
      <c r="AD28" s="14"/>
      <c r="AE28" s="14"/>
      <c r="AF28" s="45"/>
      <c r="AG28" s="14"/>
    </row>
    <row r="29" spans="1:33" s="3" customFormat="1">
      <c r="A29" s="598"/>
      <c r="B29" s="246">
        <f t="shared" si="1"/>
        <v>28</v>
      </c>
      <c r="C29" s="592"/>
      <c r="E29"/>
      <c r="H29" s="181"/>
      <c r="I29" s="14"/>
      <c r="J29" s="326"/>
      <c r="K29" s="182"/>
      <c r="L29" s="182"/>
      <c r="M29" s="182"/>
      <c r="N29" s="182"/>
      <c r="O29" s="8"/>
      <c r="P29" s="8"/>
      <c r="Q29" s="8"/>
      <c r="R29" s="581"/>
      <c r="S29" s="581"/>
      <c r="T29" s="581"/>
      <c r="U29" s="175" t="b">
        <v>0</v>
      </c>
      <c r="V29" s="8" t="s">
        <v>221</v>
      </c>
      <c r="W29" s="8"/>
      <c r="X29" s="340"/>
      <c r="Y29" s="14"/>
      <c r="Z29" s="322"/>
      <c r="AA29" s="14"/>
      <c r="AB29" s="14"/>
      <c r="AC29" s="14"/>
      <c r="AD29" s="14"/>
      <c r="AE29" s="14"/>
      <c r="AF29" s="45"/>
      <c r="AG29" s="14"/>
    </row>
    <row r="30" spans="1:33" s="3" customFormat="1" ht="30" customHeight="1" thickBot="1">
      <c r="A30" s="599"/>
      <c r="B30" s="246">
        <f t="shared" si="1"/>
        <v>29</v>
      </c>
      <c r="C30" s="593"/>
      <c r="D30" s="47"/>
      <c r="E30" s="47"/>
      <c r="F30" s="47"/>
      <c r="G30" s="47"/>
      <c r="H30" s="48"/>
      <c r="I30" s="48"/>
      <c r="J30" s="327"/>
      <c r="K30" s="49"/>
      <c r="L30" s="49"/>
      <c r="M30" s="49"/>
      <c r="N30" s="49"/>
      <c r="O30" s="50"/>
      <c r="P30" s="50"/>
      <c r="Q30" s="50"/>
      <c r="R30" s="581"/>
      <c r="S30" s="581"/>
      <c r="T30" s="581"/>
      <c r="U30" s="540"/>
      <c r="V30" s="540"/>
      <c r="W30" s="50"/>
      <c r="X30" s="342"/>
      <c r="Y30" s="48"/>
      <c r="Z30" s="323"/>
      <c r="AA30" s="48"/>
      <c r="AB30" s="48"/>
      <c r="AC30" s="48"/>
      <c r="AD30" s="48"/>
      <c r="AE30" s="48"/>
      <c r="AF30" s="51"/>
      <c r="AG30" s="14"/>
    </row>
    <row r="31" spans="1:33" s="3" customFormat="1" ht="15" hidden="1" customHeight="1" thickBot="1">
      <c r="A31" s="79"/>
      <c r="B31" s="200"/>
      <c r="C31" s="332"/>
      <c r="D31" s="197"/>
      <c r="E31" s="197"/>
      <c r="F31" s="197"/>
      <c r="G31" s="197"/>
      <c r="H31" s="197"/>
      <c r="I31" s="197"/>
      <c r="J31" s="330"/>
      <c r="K31" s="197"/>
      <c r="L31" s="197"/>
      <c r="M31" s="197"/>
      <c r="N31" s="197"/>
      <c r="O31" s="197"/>
      <c r="P31" s="197"/>
      <c r="Q31" s="197"/>
      <c r="R31" s="197"/>
      <c r="S31" s="197"/>
      <c r="T31" s="197"/>
      <c r="U31" s="330"/>
      <c r="V31" s="197"/>
      <c r="W31" s="197"/>
      <c r="X31" s="330"/>
      <c r="Y31" s="197"/>
      <c r="Z31" s="331"/>
      <c r="AA31" s="197"/>
      <c r="AB31" s="197"/>
      <c r="AC31" s="197"/>
      <c r="AD31" s="197"/>
      <c r="AE31" s="197"/>
      <c r="AF31" s="261"/>
      <c r="AG31" s="14"/>
    </row>
    <row r="32" spans="1:33" ht="5.0999999999999996" customHeight="1" thickBot="1">
      <c r="A32" s="79"/>
      <c r="B32" s="200"/>
      <c r="C32" s="332"/>
      <c r="D32" s="197"/>
      <c r="E32" s="197"/>
      <c r="F32" s="197"/>
      <c r="G32" s="197"/>
      <c r="H32" s="197"/>
      <c r="I32" s="197"/>
      <c r="J32" s="330"/>
      <c r="K32" s="197"/>
      <c r="L32" s="197"/>
      <c r="M32" s="197"/>
      <c r="N32" s="197"/>
      <c r="O32" s="197"/>
      <c r="P32" s="197"/>
      <c r="Q32" s="197"/>
      <c r="R32" s="197"/>
      <c r="S32" s="197"/>
      <c r="T32" s="197"/>
      <c r="U32" s="330"/>
      <c r="V32" s="197"/>
      <c r="W32" s="197"/>
      <c r="X32" s="330"/>
      <c r="Y32" s="197"/>
      <c r="Z32" s="331"/>
      <c r="AA32" s="197"/>
      <c r="AB32" s="197"/>
      <c r="AC32" s="197"/>
      <c r="AD32" s="197"/>
      <c r="AE32" s="197"/>
      <c r="AF32" s="261"/>
      <c r="AG32" s="79"/>
    </row>
    <row r="33" spans="1:33" ht="15" hidden="1" customHeight="1" thickBot="1">
      <c r="A33" s="79"/>
      <c r="B33" s="200"/>
      <c r="C33" s="332"/>
      <c r="D33" s="197"/>
      <c r="E33" s="197"/>
      <c r="F33" s="197"/>
      <c r="G33" s="197"/>
      <c r="H33" s="197"/>
      <c r="I33" s="197"/>
      <c r="J33" s="330"/>
      <c r="K33" s="197"/>
      <c r="L33" s="197"/>
      <c r="M33" s="197"/>
      <c r="N33" s="197"/>
      <c r="O33" s="197"/>
      <c r="P33" s="197"/>
      <c r="Q33" s="197"/>
      <c r="R33" s="197"/>
      <c r="S33" s="197"/>
      <c r="T33" s="197"/>
      <c r="U33" s="330"/>
      <c r="V33" s="197"/>
      <c r="W33" s="197"/>
      <c r="X33" s="330"/>
      <c r="Y33" s="197"/>
      <c r="Z33" s="331"/>
      <c r="AA33" s="197"/>
      <c r="AB33" s="197"/>
      <c r="AC33" s="197"/>
      <c r="AD33" s="197"/>
      <c r="AE33" s="197"/>
      <c r="AF33" s="261"/>
      <c r="AG33"/>
    </row>
    <row r="34" spans="1:33" s="12" customFormat="1" ht="29.1" customHeight="1">
      <c r="A34" s="597">
        <f>A22+1</f>
        <v>3</v>
      </c>
      <c r="B34" s="246">
        <f>B22+10</f>
        <v>31</v>
      </c>
      <c r="C34" s="591" t="str">
        <f>VLOOKUP(A34,INputs!$G$3:$O$22,7,FALSE)</f>
        <v>Parent Label-Confidential</v>
      </c>
      <c r="D34" s="498"/>
      <c r="E34" s="498"/>
      <c r="F34" s="583" t="s">
        <v>141</v>
      </c>
      <c r="G34" s="583"/>
      <c r="H34" s="583" t="s">
        <v>141</v>
      </c>
      <c r="I34" s="583"/>
      <c r="J34" s="584" t="str">
        <f>J10</f>
        <v>Select a check box</v>
      </c>
      <c r="K34" s="584"/>
      <c r="L34" s="584" t="s">
        <v>141</v>
      </c>
      <c r="M34" s="584"/>
      <c r="N34" s="584"/>
      <c r="O34" s="584" t="s">
        <v>141</v>
      </c>
      <c r="P34" s="584"/>
      <c r="Q34" s="584"/>
      <c r="R34" s="588" t="s">
        <v>198</v>
      </c>
      <c r="S34" s="588"/>
      <c r="T34" s="344" t="s">
        <v>140</v>
      </c>
      <c r="U34" s="589" t="s">
        <v>199</v>
      </c>
      <c r="V34" s="589"/>
      <c r="W34" s="42"/>
      <c r="X34" s="341"/>
      <c r="Y34" s="582" t="s">
        <v>141</v>
      </c>
      <c r="Z34" s="582"/>
      <c r="AA34" s="43"/>
      <c r="AB34" s="583"/>
      <c r="AC34" s="583"/>
      <c r="AD34" s="487"/>
      <c r="AE34" s="489" t="s">
        <v>200</v>
      </c>
      <c r="AF34" s="44"/>
      <c r="AG34" s="499"/>
    </row>
    <row r="35" spans="1:33" s="12" customFormat="1">
      <c r="A35" s="598"/>
      <c r="B35" s="246">
        <f>B34+1</f>
        <v>32</v>
      </c>
      <c r="C35" s="592"/>
      <c r="D35" s="502"/>
      <c r="E35" s="502"/>
      <c r="F35" s="492"/>
      <c r="G35" s="492"/>
      <c r="H35" s="492"/>
      <c r="I35" s="492"/>
      <c r="J35" s="493"/>
      <c r="K35" s="493"/>
      <c r="L35" s="493"/>
      <c r="M35" s="493"/>
      <c r="N35" s="493"/>
      <c r="O35" s="493"/>
      <c r="P35" s="493"/>
      <c r="Q35" s="493"/>
      <c r="R35" s="581"/>
      <c r="S35" s="581"/>
      <c r="T35" s="581"/>
      <c r="U35" s="472"/>
      <c r="V35" s="491" t="s">
        <v>142</v>
      </c>
      <c r="W35" s="185"/>
      <c r="X35" s="343"/>
      <c r="Y35" s="488"/>
      <c r="Z35" s="488"/>
      <c r="AA35" s="499"/>
      <c r="AB35" s="492"/>
      <c r="AC35" s="468" t="s">
        <v>141</v>
      </c>
      <c r="AD35" s="492"/>
      <c r="AE35" s="579"/>
      <c r="AF35" s="46"/>
      <c r="AG35" s="499"/>
    </row>
    <row r="36" spans="1:33" s="3" customFormat="1" ht="30.6">
      <c r="A36" s="598"/>
      <c r="B36" s="246">
        <f t="shared" ref="B36:B42" si="2">B35+1</f>
        <v>33</v>
      </c>
      <c r="C36" s="592"/>
      <c r="E36" s="171" t="b">
        <v>0</v>
      </c>
      <c r="F36" s="3" t="s">
        <v>201</v>
      </c>
      <c r="H36" s="171" t="b">
        <v>0</v>
      </c>
      <c r="I36" s="180" t="s">
        <v>202</v>
      </c>
      <c r="J36" s="172" t="b">
        <v>0</v>
      </c>
      <c r="K36" s="173" t="s">
        <v>203</v>
      </c>
      <c r="L36" s="174" t="b">
        <v>0</v>
      </c>
      <c r="M36" s="8" t="s">
        <v>204</v>
      </c>
      <c r="N36" s="182"/>
      <c r="O36" s="174" t="b">
        <v>0</v>
      </c>
      <c r="P36" s="8" t="s">
        <v>205</v>
      </c>
      <c r="Q36" s="8"/>
      <c r="R36" s="581"/>
      <c r="S36" s="581"/>
      <c r="T36" s="581"/>
      <c r="U36" s="581"/>
      <c r="V36" s="581"/>
      <c r="W36" s="185"/>
      <c r="X36" s="175" t="b">
        <v>0</v>
      </c>
      <c r="Y36" s="176" t="s">
        <v>206</v>
      </c>
      <c r="Z36" s="500"/>
      <c r="AA36" s="14"/>
      <c r="AB36" s="467" t="b">
        <v>0</v>
      </c>
      <c r="AC36" s="340" t="s">
        <v>207</v>
      </c>
      <c r="AD36" s="14"/>
      <c r="AE36" s="579"/>
      <c r="AF36" s="45"/>
      <c r="AG36" s="14"/>
    </row>
    <row r="37" spans="1:33" s="3" customFormat="1" ht="35.1" customHeight="1">
      <c r="A37" s="598"/>
      <c r="B37" s="246">
        <f t="shared" si="2"/>
        <v>34</v>
      </c>
      <c r="C37" s="592"/>
      <c r="E37" s="171" t="b">
        <v>0</v>
      </c>
      <c r="F37" s="168" t="s">
        <v>208</v>
      </c>
      <c r="H37" s="14"/>
      <c r="I37" s="180"/>
      <c r="J37" s="175" t="b">
        <v>0</v>
      </c>
      <c r="K37" s="594" t="s">
        <v>209</v>
      </c>
      <c r="L37" s="175" t="b">
        <v>0</v>
      </c>
      <c r="M37" s="176" t="s">
        <v>210</v>
      </c>
      <c r="N37" s="338">
        <v>44197</v>
      </c>
      <c r="O37" s="175" t="b">
        <v>0</v>
      </c>
      <c r="P37" s="176" t="s">
        <v>204</v>
      </c>
      <c r="Q37" s="176"/>
      <c r="R37" s="174" t="b">
        <v>0</v>
      </c>
      <c r="S37" s="8" t="s">
        <v>211</v>
      </c>
      <c r="T37" s="8" t="s">
        <v>140</v>
      </c>
      <c r="U37" s="175" t="b">
        <v>0</v>
      </c>
      <c r="V37" s="491" t="s">
        <v>212</v>
      </c>
      <c r="W37" s="184"/>
      <c r="X37" s="175" t="b">
        <v>0</v>
      </c>
      <c r="Y37" s="176" t="s">
        <v>213</v>
      </c>
      <c r="Z37" s="500"/>
      <c r="AA37" s="14"/>
      <c r="AB37" s="186"/>
      <c r="AC37" s="492" t="s">
        <v>142</v>
      </c>
      <c r="AD37" s="179"/>
      <c r="AE37" s="493" t="s">
        <v>214</v>
      </c>
      <c r="AF37" s="46"/>
      <c r="AG37" s="14"/>
    </row>
    <row r="38" spans="1:33" s="3" customFormat="1" ht="14.45" customHeight="1">
      <c r="A38" s="598"/>
      <c r="B38" s="246">
        <f t="shared" si="2"/>
        <v>35</v>
      </c>
      <c r="C38" s="592"/>
      <c r="E38" s="171" t="b">
        <v>0</v>
      </c>
      <c r="F38" s="595" t="s">
        <v>215</v>
      </c>
      <c r="H38" s="171" t="b">
        <v>0</v>
      </c>
      <c r="I38" s="180" t="s">
        <v>216</v>
      </c>
      <c r="J38" s="176"/>
      <c r="K38" s="594"/>
      <c r="L38" s="174" t="b">
        <v>0</v>
      </c>
      <c r="M38" s="39" t="s">
        <v>217</v>
      </c>
      <c r="N38" s="523">
        <v>0</v>
      </c>
      <c r="O38" s="174" t="b">
        <v>0</v>
      </c>
      <c r="P38" s="8" t="s">
        <v>217</v>
      </c>
      <c r="Q38" s="523">
        <v>8</v>
      </c>
      <c r="R38" s="581"/>
      <c r="S38" s="581"/>
      <c r="T38" s="581"/>
      <c r="U38" s="590" t="s">
        <v>141</v>
      </c>
      <c r="V38" s="590"/>
      <c r="W38" s="590"/>
      <c r="X38" s="175" t="b">
        <v>0</v>
      </c>
      <c r="Y38" s="8" t="s">
        <v>218</v>
      </c>
      <c r="Z38" s="581"/>
      <c r="AA38" s="14"/>
      <c r="AB38" s="186"/>
      <c r="AC38" s="20"/>
      <c r="AD38" s="14"/>
      <c r="AE38" s="580"/>
      <c r="AF38" s="45"/>
      <c r="AG38" s="14"/>
    </row>
    <row r="39" spans="1:33" s="3" customFormat="1">
      <c r="A39" s="598"/>
      <c r="B39" s="246">
        <f t="shared" si="2"/>
        <v>36</v>
      </c>
      <c r="C39" s="592"/>
      <c r="F39" s="595"/>
      <c r="H39" s="14"/>
      <c r="I39" s="14"/>
      <c r="J39" s="176"/>
      <c r="K39" s="8"/>
      <c r="L39" s="14"/>
      <c r="M39" s="14"/>
      <c r="N39" s="187"/>
      <c r="O39" s="8"/>
      <c r="P39" s="8"/>
      <c r="Q39" s="8"/>
      <c r="R39" s="581"/>
      <c r="S39" s="581"/>
      <c r="T39" s="581"/>
      <c r="U39" s="175" t="b">
        <v>0</v>
      </c>
      <c r="V39" s="176" t="s">
        <v>219</v>
      </c>
      <c r="W39" s="185"/>
      <c r="X39" s="340"/>
      <c r="Y39" s="14"/>
      <c r="Z39" s="581"/>
      <c r="AA39" s="14"/>
      <c r="AB39" s="14"/>
      <c r="AC39" s="14"/>
      <c r="AD39" s="14"/>
      <c r="AE39" s="580"/>
      <c r="AF39" s="45"/>
      <c r="AG39" s="14"/>
    </row>
    <row r="40" spans="1:33" s="3" customFormat="1" ht="30" customHeight="1">
      <c r="A40" s="598"/>
      <c r="B40" s="246">
        <f t="shared" si="2"/>
        <v>37</v>
      </c>
      <c r="C40" s="592"/>
      <c r="E40"/>
      <c r="H40" s="14"/>
      <c r="I40" s="14"/>
      <c r="J40" s="326"/>
      <c r="K40" s="182"/>
      <c r="L40" s="182"/>
      <c r="M40" s="182"/>
      <c r="N40" s="182"/>
      <c r="O40" s="8"/>
      <c r="P40" s="8"/>
      <c r="Q40" s="8"/>
      <c r="R40" s="174" t="b">
        <v>0</v>
      </c>
      <c r="S40" s="8" t="s">
        <v>220</v>
      </c>
      <c r="T40" s="8" t="s">
        <v>140</v>
      </c>
      <c r="U40" s="581"/>
      <c r="V40" s="581"/>
      <c r="X40" s="340"/>
      <c r="Y40" s="14"/>
      <c r="Z40" s="322"/>
      <c r="AA40" s="14"/>
      <c r="AB40" s="14"/>
      <c r="AC40" s="14"/>
      <c r="AD40" s="14"/>
      <c r="AE40" s="14"/>
      <c r="AF40" s="45"/>
      <c r="AG40" s="14"/>
    </row>
    <row r="41" spans="1:33" s="3" customFormat="1">
      <c r="A41" s="598"/>
      <c r="B41" s="246">
        <f t="shared" si="2"/>
        <v>38</v>
      </c>
      <c r="C41" s="592"/>
      <c r="E41"/>
      <c r="H41" s="181"/>
      <c r="I41" s="14"/>
      <c r="J41" s="326"/>
      <c r="K41" s="182"/>
      <c r="L41" s="182"/>
      <c r="M41" s="182"/>
      <c r="N41" s="182"/>
      <c r="O41" s="8"/>
      <c r="P41" s="8"/>
      <c r="Q41" s="8"/>
      <c r="R41" s="581"/>
      <c r="S41" s="581"/>
      <c r="T41" s="581"/>
      <c r="U41" s="175" t="b">
        <v>0</v>
      </c>
      <c r="V41" s="8" t="s">
        <v>221</v>
      </c>
      <c r="W41" s="8"/>
      <c r="X41" s="340"/>
      <c r="Y41" s="14"/>
      <c r="Z41" s="322"/>
      <c r="AA41" s="14"/>
      <c r="AB41" s="14"/>
      <c r="AC41" s="14"/>
      <c r="AD41" s="14"/>
      <c r="AE41" s="14"/>
      <c r="AF41" s="45"/>
      <c r="AG41" s="14"/>
    </row>
    <row r="42" spans="1:33" s="3" customFormat="1" ht="30" customHeight="1" thickBot="1">
      <c r="A42" s="599"/>
      <c r="B42" s="246">
        <f t="shared" si="2"/>
        <v>39</v>
      </c>
      <c r="C42" s="593"/>
      <c r="D42" s="47"/>
      <c r="E42" s="47"/>
      <c r="F42" s="47"/>
      <c r="G42" s="47"/>
      <c r="H42" s="48"/>
      <c r="I42" s="48"/>
      <c r="J42" s="327"/>
      <c r="K42" s="49"/>
      <c r="L42" s="49"/>
      <c r="M42" s="49"/>
      <c r="N42" s="49"/>
      <c r="O42" s="50"/>
      <c r="P42" s="50"/>
      <c r="Q42" s="50"/>
      <c r="R42" s="581"/>
      <c r="S42" s="581"/>
      <c r="T42" s="581"/>
      <c r="U42" s="581"/>
      <c r="V42" s="581"/>
      <c r="W42" s="50"/>
      <c r="X42" s="342"/>
      <c r="Y42" s="48"/>
      <c r="Z42" s="323"/>
      <c r="AA42" s="48"/>
      <c r="AB42" s="48"/>
      <c r="AC42" s="48"/>
      <c r="AD42" s="48"/>
      <c r="AE42" s="48"/>
      <c r="AF42" s="51"/>
      <c r="AG42" s="14"/>
    </row>
    <row r="43" spans="1:33" s="3" customFormat="1" ht="15" hidden="1" customHeight="1" thickBot="1">
      <c r="A43" s="79"/>
      <c r="B43" s="200"/>
      <c r="C43" s="333"/>
      <c r="D43" s="334"/>
      <c r="E43" s="334"/>
      <c r="F43" s="334"/>
      <c r="G43" s="334"/>
      <c r="H43" s="334"/>
      <c r="I43" s="334"/>
      <c r="J43" s="335"/>
      <c r="K43" s="334"/>
      <c r="L43" s="334"/>
      <c r="M43" s="334"/>
      <c r="N43" s="334"/>
      <c r="O43" s="334"/>
      <c r="P43" s="334"/>
      <c r="Q43" s="334"/>
      <c r="R43" s="334"/>
      <c r="S43" s="334"/>
      <c r="T43" s="334"/>
      <c r="U43" s="335"/>
      <c r="V43" s="334"/>
      <c r="W43" s="334"/>
      <c r="X43" s="335"/>
      <c r="Y43" s="334"/>
      <c r="Z43" s="336"/>
      <c r="AA43" s="334"/>
      <c r="AB43" s="334"/>
      <c r="AC43" s="334"/>
      <c r="AD43" s="334"/>
      <c r="AE43" s="334"/>
      <c r="AF43" s="337"/>
      <c r="AG43" s="14"/>
    </row>
    <row r="44" spans="1:33" ht="5.0999999999999996" customHeight="1" thickBot="1">
      <c r="A44" s="79"/>
      <c r="B44" s="200"/>
      <c r="C44" s="332"/>
      <c r="D44" s="197"/>
      <c r="E44" s="197"/>
      <c r="F44" s="197"/>
      <c r="G44" s="197"/>
      <c r="H44" s="197"/>
      <c r="I44" s="197"/>
      <c r="J44" s="330"/>
      <c r="K44" s="197"/>
      <c r="L44" s="197"/>
      <c r="M44" s="197"/>
      <c r="N44" s="197"/>
      <c r="O44" s="197"/>
      <c r="P44" s="197"/>
      <c r="Q44" s="197"/>
      <c r="R44" s="197"/>
      <c r="S44" s="197"/>
      <c r="T44" s="197"/>
      <c r="U44" s="330"/>
      <c r="V44" s="197"/>
      <c r="W44" s="197"/>
      <c r="X44" s="330"/>
      <c r="Y44" s="197"/>
      <c r="Z44" s="331"/>
      <c r="AA44" s="197"/>
      <c r="AB44" s="197"/>
      <c r="AC44" s="197"/>
      <c r="AD44" s="197"/>
      <c r="AE44" s="197"/>
      <c r="AF44" s="261"/>
      <c r="AG44" s="79"/>
    </row>
    <row r="45" spans="1:33" ht="15" hidden="1" customHeight="1" thickBot="1">
      <c r="A45" s="79"/>
      <c r="B45" s="200"/>
      <c r="C45" s="332"/>
      <c r="D45" s="197"/>
      <c r="E45" s="197"/>
      <c r="F45" s="197"/>
      <c r="G45" s="197"/>
      <c r="H45" s="197"/>
      <c r="I45" s="197"/>
      <c r="J45" s="330"/>
      <c r="K45" s="197"/>
      <c r="L45" s="197"/>
      <c r="M45" s="197"/>
      <c r="N45" s="197"/>
      <c r="O45" s="197"/>
      <c r="P45" s="197"/>
      <c r="Q45" s="197"/>
      <c r="R45" s="197"/>
      <c r="S45" s="197"/>
      <c r="T45" s="197"/>
      <c r="U45" s="330"/>
      <c r="V45" s="197"/>
      <c r="W45" s="197"/>
      <c r="X45" s="330"/>
      <c r="Y45" s="197"/>
      <c r="Z45" s="331"/>
      <c r="AA45" s="197"/>
      <c r="AB45" s="197"/>
      <c r="AC45" s="197"/>
      <c r="AD45" s="197"/>
      <c r="AE45" s="197"/>
      <c r="AF45" s="261"/>
      <c r="AG45"/>
    </row>
    <row r="46" spans="1:33" s="12" customFormat="1" ht="29.1" customHeight="1">
      <c r="A46" s="597">
        <f>A34+1</f>
        <v>4</v>
      </c>
      <c r="B46" s="246">
        <f>B34+10</f>
        <v>41</v>
      </c>
      <c r="C46" s="591" t="str">
        <f>VLOOKUP(A46,INputs!$G$3:$O$22,7,FALSE)</f>
        <v>Sub Label-All Employees</v>
      </c>
      <c r="D46" s="498"/>
      <c r="E46" s="498"/>
      <c r="F46" s="583" t="s">
        <v>141</v>
      </c>
      <c r="G46" s="583"/>
      <c r="H46" s="583" t="s">
        <v>141</v>
      </c>
      <c r="I46" s="583"/>
      <c r="J46" s="584" t="str">
        <f>J10</f>
        <v>Select a check box</v>
      </c>
      <c r="K46" s="584"/>
      <c r="L46" s="584" t="s">
        <v>141</v>
      </c>
      <c r="M46" s="584"/>
      <c r="N46" s="584"/>
      <c r="O46" s="584" t="s">
        <v>141</v>
      </c>
      <c r="P46" s="584"/>
      <c r="Q46" s="584"/>
      <c r="R46" s="588" t="s">
        <v>198</v>
      </c>
      <c r="S46" s="588"/>
      <c r="T46" s="344" t="s">
        <v>140</v>
      </c>
      <c r="U46" s="589" t="s">
        <v>199</v>
      </c>
      <c r="V46" s="589"/>
      <c r="W46" s="42"/>
      <c r="X46" s="341"/>
      <c r="Y46" s="582" t="s">
        <v>141</v>
      </c>
      <c r="Z46" s="582"/>
      <c r="AA46" s="43"/>
      <c r="AB46" s="583"/>
      <c r="AC46" s="583"/>
      <c r="AD46" s="487"/>
      <c r="AE46" s="489" t="s">
        <v>200</v>
      </c>
      <c r="AF46" s="44"/>
      <c r="AG46" s="499"/>
    </row>
    <row r="47" spans="1:33" s="12" customFormat="1">
      <c r="A47" s="598"/>
      <c r="B47" s="246">
        <f>B46+1</f>
        <v>42</v>
      </c>
      <c r="C47" s="592"/>
      <c r="D47" s="502"/>
      <c r="E47" s="502"/>
      <c r="F47" s="492"/>
      <c r="G47" s="492"/>
      <c r="H47" s="492"/>
      <c r="I47" s="492"/>
      <c r="J47" s="493"/>
      <c r="K47" s="493"/>
      <c r="L47" s="493"/>
      <c r="M47" s="493"/>
      <c r="N47" s="493"/>
      <c r="O47" s="493"/>
      <c r="P47" s="493"/>
      <c r="Q47" s="493"/>
      <c r="R47" s="581" t="s">
        <v>222</v>
      </c>
      <c r="S47" s="581"/>
      <c r="T47" s="581"/>
      <c r="U47" s="472"/>
      <c r="V47" s="491" t="s">
        <v>142</v>
      </c>
      <c r="W47" s="185"/>
      <c r="X47" s="343"/>
      <c r="Y47" s="488"/>
      <c r="Z47" s="488"/>
      <c r="AA47" s="499"/>
      <c r="AB47" s="492"/>
      <c r="AC47" s="468" t="s">
        <v>141</v>
      </c>
      <c r="AD47" s="492"/>
      <c r="AE47" s="579"/>
      <c r="AF47" s="46"/>
      <c r="AG47" s="499"/>
    </row>
    <row r="48" spans="1:33" s="3" customFormat="1" ht="30.6">
      <c r="A48" s="598"/>
      <c r="B48" s="246">
        <f t="shared" ref="B48:B54" si="3">B47+1</f>
        <v>43</v>
      </c>
      <c r="C48" s="592"/>
      <c r="E48" s="171" t="b">
        <v>1</v>
      </c>
      <c r="F48" s="3" t="s">
        <v>201</v>
      </c>
      <c r="H48" s="171" t="b">
        <v>0</v>
      </c>
      <c r="I48" s="180" t="s">
        <v>202</v>
      </c>
      <c r="J48" s="172" t="b">
        <v>1</v>
      </c>
      <c r="K48" s="173" t="s">
        <v>203</v>
      </c>
      <c r="L48" s="174" t="b">
        <v>1</v>
      </c>
      <c r="M48" s="8" t="s">
        <v>204</v>
      </c>
      <c r="N48" s="182"/>
      <c r="O48" s="174" t="b">
        <v>1</v>
      </c>
      <c r="P48" s="8" t="s">
        <v>205</v>
      </c>
      <c r="Q48" s="8"/>
      <c r="R48" s="581"/>
      <c r="S48" s="581"/>
      <c r="T48" s="581"/>
      <c r="U48" s="581"/>
      <c r="V48" s="581"/>
      <c r="W48" s="185"/>
      <c r="X48" s="175" t="b">
        <v>0</v>
      </c>
      <c r="Y48" s="176" t="s">
        <v>206</v>
      </c>
      <c r="Z48" s="500"/>
      <c r="AA48" s="14"/>
      <c r="AB48" s="467" t="b">
        <v>0</v>
      </c>
      <c r="AC48" s="340" t="s">
        <v>207</v>
      </c>
      <c r="AD48" s="14"/>
      <c r="AE48" s="579"/>
      <c r="AF48" s="45"/>
      <c r="AG48" s="14"/>
    </row>
    <row r="49" spans="1:33" s="3" customFormat="1" ht="35.1" customHeight="1">
      <c r="A49" s="598"/>
      <c r="B49" s="246">
        <f t="shared" si="3"/>
        <v>44</v>
      </c>
      <c r="C49" s="592"/>
      <c r="E49" s="171" t="b">
        <v>1</v>
      </c>
      <c r="F49" s="168" t="s">
        <v>208</v>
      </c>
      <c r="H49" s="14"/>
      <c r="I49" s="180"/>
      <c r="J49" s="175" t="b">
        <v>0</v>
      </c>
      <c r="K49" s="594" t="s">
        <v>209</v>
      </c>
      <c r="L49" s="175" t="b">
        <v>0</v>
      </c>
      <c r="M49" s="176" t="s">
        <v>210</v>
      </c>
      <c r="N49" s="338">
        <v>44197</v>
      </c>
      <c r="O49" s="175" t="b">
        <v>0</v>
      </c>
      <c r="P49" s="176" t="s">
        <v>204</v>
      </c>
      <c r="Q49" s="176"/>
      <c r="R49" s="174" t="b">
        <v>0</v>
      </c>
      <c r="S49" s="8" t="s">
        <v>211</v>
      </c>
      <c r="T49" s="8" t="s">
        <v>140</v>
      </c>
      <c r="U49" s="175" t="b">
        <v>0</v>
      </c>
      <c r="V49" s="491" t="s">
        <v>212</v>
      </c>
      <c r="W49" s="184"/>
      <c r="X49" s="175" t="b">
        <v>0</v>
      </c>
      <c r="Y49" s="176" t="s">
        <v>213</v>
      </c>
      <c r="Z49" s="500"/>
      <c r="AA49" s="14"/>
      <c r="AB49" s="186"/>
      <c r="AC49" s="492" t="s">
        <v>142</v>
      </c>
      <c r="AD49" s="179"/>
      <c r="AE49" s="493" t="s">
        <v>214</v>
      </c>
      <c r="AF49" s="46"/>
      <c r="AG49" s="14"/>
    </row>
    <row r="50" spans="1:33" s="3" customFormat="1" ht="14.45" customHeight="1">
      <c r="A50" s="598"/>
      <c r="B50" s="246">
        <f t="shared" si="3"/>
        <v>45</v>
      </c>
      <c r="C50" s="592"/>
      <c r="E50" s="171" t="b">
        <v>1</v>
      </c>
      <c r="F50" s="595" t="s">
        <v>215</v>
      </c>
      <c r="H50" s="171" t="b">
        <v>1</v>
      </c>
      <c r="I50" s="180" t="s">
        <v>216</v>
      </c>
      <c r="J50" s="176"/>
      <c r="K50" s="594"/>
      <c r="L50" s="174" t="b">
        <v>0</v>
      </c>
      <c r="M50" s="39" t="s">
        <v>217</v>
      </c>
      <c r="N50" s="523">
        <v>6</v>
      </c>
      <c r="O50" s="174" t="b">
        <v>0</v>
      </c>
      <c r="P50" s="8" t="s">
        <v>217</v>
      </c>
      <c r="Q50" s="523">
        <v>7</v>
      </c>
      <c r="R50" s="581"/>
      <c r="S50" s="581"/>
      <c r="T50" s="581"/>
      <c r="U50" s="590" t="s">
        <v>141</v>
      </c>
      <c r="V50" s="590"/>
      <c r="W50" s="590"/>
      <c r="X50" s="175" t="b">
        <v>1</v>
      </c>
      <c r="Y50" s="8" t="s">
        <v>218</v>
      </c>
      <c r="Z50" s="581" t="s">
        <v>223</v>
      </c>
      <c r="AA50" s="14"/>
      <c r="AB50" s="186"/>
      <c r="AC50" s="20"/>
      <c r="AD50" s="14"/>
      <c r="AE50" s="580"/>
      <c r="AF50" s="45"/>
      <c r="AG50" s="14"/>
    </row>
    <row r="51" spans="1:33" s="3" customFormat="1">
      <c r="A51" s="598"/>
      <c r="B51" s="246">
        <f t="shared" si="3"/>
        <v>46</v>
      </c>
      <c r="C51" s="592"/>
      <c r="F51" s="595"/>
      <c r="H51" s="14"/>
      <c r="I51" s="14"/>
      <c r="J51" s="176"/>
      <c r="K51" s="8"/>
      <c r="L51" s="14"/>
      <c r="M51" s="14"/>
      <c r="N51" s="187"/>
      <c r="O51" s="8"/>
      <c r="P51" s="8"/>
      <c r="Q51" s="8"/>
      <c r="R51" s="581"/>
      <c r="S51" s="581"/>
      <c r="T51" s="581"/>
      <c r="U51" s="175" t="b">
        <v>0</v>
      </c>
      <c r="V51" s="176" t="s">
        <v>219</v>
      </c>
      <c r="W51" s="185"/>
      <c r="X51" s="340"/>
      <c r="Y51" s="14"/>
      <c r="Z51" s="581"/>
      <c r="AA51" s="14"/>
      <c r="AB51" s="14"/>
      <c r="AC51" s="14"/>
      <c r="AD51" s="14"/>
      <c r="AE51" s="580"/>
      <c r="AF51" s="45"/>
      <c r="AG51" s="14"/>
    </row>
    <row r="52" spans="1:33" s="3" customFormat="1" ht="30" customHeight="1">
      <c r="A52" s="598"/>
      <c r="B52" s="246">
        <f t="shared" si="3"/>
        <v>47</v>
      </c>
      <c r="C52" s="592"/>
      <c r="E52"/>
      <c r="H52" s="14"/>
      <c r="I52" s="14"/>
      <c r="J52" s="326"/>
      <c r="K52" s="182"/>
      <c r="L52" s="182"/>
      <c r="M52" s="182"/>
      <c r="N52" s="182"/>
      <c r="O52" s="8"/>
      <c r="P52" s="8"/>
      <c r="Q52" s="8"/>
      <c r="R52" s="174" t="b">
        <v>0</v>
      </c>
      <c r="S52" s="8" t="s">
        <v>220</v>
      </c>
      <c r="T52" s="8" t="s">
        <v>140</v>
      </c>
      <c r="U52" s="581"/>
      <c r="V52" s="581"/>
      <c r="X52" s="340"/>
      <c r="Y52" s="14"/>
      <c r="Z52" s="322"/>
      <c r="AA52" s="14"/>
      <c r="AB52" s="14"/>
      <c r="AC52" s="14"/>
      <c r="AD52" s="14"/>
      <c r="AE52" s="14"/>
      <c r="AF52" s="45"/>
      <c r="AG52" s="14"/>
    </row>
    <row r="53" spans="1:33" s="3" customFormat="1">
      <c r="A53" s="598"/>
      <c r="B53" s="246">
        <f t="shared" si="3"/>
        <v>48</v>
      </c>
      <c r="C53" s="592"/>
      <c r="E53"/>
      <c r="H53" s="181"/>
      <c r="I53" s="14"/>
      <c r="J53" s="326"/>
      <c r="K53" s="182"/>
      <c r="L53" s="182"/>
      <c r="M53" s="182"/>
      <c r="N53" s="182"/>
      <c r="O53" s="8"/>
      <c r="P53" s="8"/>
      <c r="Q53" s="8"/>
      <c r="R53" s="581"/>
      <c r="S53" s="581"/>
      <c r="T53" s="581"/>
      <c r="U53" s="175" t="b">
        <v>0</v>
      </c>
      <c r="V53" s="8" t="s">
        <v>221</v>
      </c>
      <c r="W53" s="8"/>
      <c r="X53" s="340"/>
      <c r="Y53" s="14"/>
      <c r="Z53" s="322"/>
      <c r="AA53" s="14"/>
      <c r="AB53" s="14"/>
      <c r="AC53" s="14"/>
      <c r="AD53" s="14"/>
      <c r="AE53" s="14"/>
      <c r="AF53" s="45"/>
      <c r="AG53" s="14"/>
    </row>
    <row r="54" spans="1:33" s="3" customFormat="1" ht="30" customHeight="1" thickBot="1">
      <c r="A54" s="599"/>
      <c r="B54" s="246">
        <f t="shared" si="3"/>
        <v>49</v>
      </c>
      <c r="C54" s="593"/>
      <c r="D54" s="47"/>
      <c r="E54" s="47"/>
      <c r="F54" s="47"/>
      <c r="G54" s="47"/>
      <c r="H54" s="48"/>
      <c r="I54" s="48"/>
      <c r="J54" s="327"/>
      <c r="K54" s="49"/>
      <c r="L54" s="49"/>
      <c r="M54" s="49"/>
      <c r="N54" s="49"/>
      <c r="O54" s="50"/>
      <c r="P54" s="50"/>
      <c r="Q54" s="50"/>
      <c r="R54" s="581"/>
      <c r="S54" s="581"/>
      <c r="T54" s="581"/>
      <c r="U54" s="581"/>
      <c r="V54" s="581"/>
      <c r="W54" s="50"/>
      <c r="X54" s="342"/>
      <c r="Y54" s="48"/>
      <c r="Z54" s="323"/>
      <c r="AA54" s="48"/>
      <c r="AB54" s="48"/>
      <c r="AC54" s="48"/>
      <c r="AD54" s="48"/>
      <c r="AE54" s="48"/>
      <c r="AF54" s="51"/>
      <c r="AG54" s="14"/>
    </row>
    <row r="55" spans="1:33" s="3" customFormat="1" ht="15" hidden="1" customHeight="1" thickBot="1">
      <c r="A55" s="79"/>
      <c r="B55" s="200"/>
      <c r="C55" s="333"/>
      <c r="D55" s="334"/>
      <c r="E55" s="334"/>
      <c r="F55" s="334"/>
      <c r="G55" s="334"/>
      <c r="H55" s="334"/>
      <c r="I55" s="334"/>
      <c r="J55" s="335"/>
      <c r="K55" s="334"/>
      <c r="L55" s="334"/>
      <c r="M55" s="334"/>
      <c r="N55" s="334"/>
      <c r="O55" s="334"/>
      <c r="P55" s="334"/>
      <c r="Q55" s="334"/>
      <c r="R55" s="27"/>
      <c r="S55" s="27"/>
      <c r="T55" s="27"/>
      <c r="U55" s="335"/>
      <c r="V55" s="334"/>
      <c r="W55" s="334"/>
      <c r="X55" s="335"/>
      <c r="Y55" s="334"/>
      <c r="Z55" s="336"/>
      <c r="AA55" s="334"/>
      <c r="AB55" s="334"/>
      <c r="AC55" s="334"/>
      <c r="AD55" s="334"/>
      <c r="AE55" s="334"/>
      <c r="AF55" s="337"/>
      <c r="AG55" s="14"/>
    </row>
    <row r="56" spans="1:33" ht="5.0999999999999996" customHeight="1" thickBot="1">
      <c r="A56" s="79"/>
      <c r="B56" s="200"/>
      <c r="C56" s="332"/>
      <c r="D56" s="197"/>
      <c r="E56" s="197"/>
      <c r="F56" s="197"/>
      <c r="G56" s="197"/>
      <c r="H56" s="197"/>
      <c r="I56" s="197"/>
      <c r="J56" s="330"/>
      <c r="K56" s="197"/>
      <c r="L56" s="197"/>
      <c r="M56" s="197"/>
      <c r="N56" s="197"/>
      <c r="O56" s="197"/>
      <c r="P56" s="197"/>
      <c r="Q56" s="197"/>
      <c r="R56" s="197"/>
      <c r="S56" s="197"/>
      <c r="T56" s="197"/>
      <c r="U56" s="330"/>
      <c r="V56" s="197"/>
      <c r="W56" s="197"/>
      <c r="X56" s="330"/>
      <c r="Y56" s="197"/>
      <c r="Z56" s="331"/>
      <c r="AA56" s="197"/>
      <c r="AB56" s="197"/>
      <c r="AC56" s="197"/>
      <c r="AD56" s="197"/>
      <c r="AE56" s="197"/>
      <c r="AF56" s="261"/>
      <c r="AG56" s="79"/>
    </row>
    <row r="57" spans="1:33" ht="15" hidden="1" customHeight="1" thickBot="1">
      <c r="A57" s="79"/>
      <c r="B57" s="200"/>
      <c r="C57" s="332"/>
      <c r="D57" s="197"/>
      <c r="E57" s="197"/>
      <c r="F57" s="197"/>
      <c r="G57" s="197"/>
      <c r="H57" s="197"/>
      <c r="I57" s="197"/>
      <c r="J57" s="330"/>
      <c r="K57" s="197"/>
      <c r="L57" s="197"/>
      <c r="M57" s="197"/>
      <c r="N57" s="197"/>
      <c r="O57" s="197"/>
      <c r="P57" s="197"/>
      <c r="Q57" s="197"/>
      <c r="R57" s="197"/>
      <c r="S57" s="197"/>
      <c r="T57" s="197"/>
      <c r="U57" s="330"/>
      <c r="V57" s="197"/>
      <c r="W57" s="197"/>
      <c r="X57" s="330"/>
      <c r="Y57" s="197"/>
      <c r="Z57" s="331"/>
      <c r="AA57" s="197"/>
      <c r="AB57" s="197"/>
      <c r="AC57" s="197"/>
      <c r="AD57" s="197"/>
      <c r="AE57" s="197"/>
      <c r="AF57" s="261"/>
      <c r="AG57"/>
    </row>
    <row r="58" spans="1:33" s="12" customFormat="1" ht="29.1" customHeight="1">
      <c r="A58" s="597">
        <f>A46+1</f>
        <v>5</v>
      </c>
      <c r="B58" s="246">
        <f>B46+10</f>
        <v>51</v>
      </c>
      <c r="C58" s="591" t="str">
        <f>VLOOKUP(A58,INputs!$G$3:$O$22,7,FALSE)</f>
        <v>Sub Label-Specific People</v>
      </c>
      <c r="D58" s="498"/>
      <c r="E58" s="498"/>
      <c r="F58" s="583" t="s">
        <v>141</v>
      </c>
      <c r="G58" s="583"/>
      <c r="H58" s="583" t="s">
        <v>141</v>
      </c>
      <c r="I58" s="583"/>
      <c r="J58" s="584" t="str">
        <f>J$10</f>
        <v>Select a check box</v>
      </c>
      <c r="K58" s="584"/>
      <c r="L58" s="584" t="s">
        <v>141</v>
      </c>
      <c r="M58" s="584"/>
      <c r="N58" s="584"/>
      <c r="O58" s="584" t="s">
        <v>141</v>
      </c>
      <c r="P58" s="584"/>
      <c r="Q58" s="584"/>
      <c r="R58" s="588" t="s">
        <v>198</v>
      </c>
      <c r="S58" s="588"/>
      <c r="T58" s="344" t="s">
        <v>140</v>
      </c>
      <c r="U58" s="589" t="s">
        <v>199</v>
      </c>
      <c r="V58" s="589"/>
      <c r="W58" s="42"/>
      <c r="X58" s="341"/>
      <c r="Y58" s="582" t="s">
        <v>141</v>
      </c>
      <c r="Z58" s="582"/>
      <c r="AA58" s="43"/>
      <c r="AB58" s="583"/>
      <c r="AC58" s="583"/>
      <c r="AD58" s="487"/>
      <c r="AE58" s="489" t="s">
        <v>200</v>
      </c>
      <c r="AF58" s="44"/>
      <c r="AG58" s="499"/>
    </row>
    <row r="59" spans="1:33" s="12" customFormat="1">
      <c r="A59" s="598"/>
      <c r="B59" s="246">
        <f>B58+1</f>
        <v>52</v>
      </c>
      <c r="C59" s="592"/>
      <c r="D59" s="502"/>
      <c r="E59" s="502"/>
      <c r="F59" s="492"/>
      <c r="G59" s="492"/>
      <c r="H59" s="492"/>
      <c r="I59" s="492"/>
      <c r="J59" s="493"/>
      <c r="K59" s="493"/>
      <c r="L59" s="493"/>
      <c r="M59" s="493"/>
      <c r="N59" s="493"/>
      <c r="O59" s="493"/>
      <c r="P59" s="493"/>
      <c r="Q59" s="493"/>
      <c r="R59" s="581"/>
      <c r="S59" s="581"/>
      <c r="T59" s="581"/>
      <c r="U59" s="472"/>
      <c r="V59" s="491" t="s">
        <v>142</v>
      </c>
      <c r="W59" s="185"/>
      <c r="X59" s="343"/>
      <c r="Y59" s="488"/>
      <c r="Z59" s="488"/>
      <c r="AA59" s="499"/>
      <c r="AB59" s="492"/>
      <c r="AC59" s="468" t="s">
        <v>141</v>
      </c>
      <c r="AD59" s="492"/>
      <c r="AE59" s="579"/>
      <c r="AF59" s="46"/>
      <c r="AG59" s="499"/>
    </row>
    <row r="60" spans="1:33" s="3" customFormat="1" ht="30.6">
      <c r="A60" s="598"/>
      <c r="B60" s="246">
        <f t="shared" ref="B60:B66" si="4">B59+1</f>
        <v>53</v>
      </c>
      <c r="C60" s="592"/>
      <c r="E60" s="171" t="b">
        <v>1</v>
      </c>
      <c r="F60" s="3" t="s">
        <v>201</v>
      </c>
      <c r="H60" s="171" t="b">
        <v>0</v>
      </c>
      <c r="I60" s="180" t="s">
        <v>202</v>
      </c>
      <c r="J60" s="172" t="b">
        <v>0</v>
      </c>
      <c r="K60" s="173" t="s">
        <v>203</v>
      </c>
      <c r="L60" s="174" t="b">
        <v>0</v>
      </c>
      <c r="M60" s="8" t="s">
        <v>204</v>
      </c>
      <c r="N60" s="182"/>
      <c r="O60" s="174" t="b">
        <v>0</v>
      </c>
      <c r="P60" s="8" t="s">
        <v>205</v>
      </c>
      <c r="Q60" s="8"/>
      <c r="R60" s="581"/>
      <c r="S60" s="581"/>
      <c r="T60" s="581"/>
      <c r="U60" s="581" t="s">
        <v>32</v>
      </c>
      <c r="V60" s="581"/>
      <c r="W60" s="185"/>
      <c r="X60" s="175" t="b">
        <v>0</v>
      </c>
      <c r="Y60" s="176" t="s">
        <v>206</v>
      </c>
      <c r="Z60" s="500"/>
      <c r="AA60" s="14"/>
      <c r="AB60" s="467" t="b">
        <v>0</v>
      </c>
      <c r="AC60" s="340" t="s">
        <v>207</v>
      </c>
      <c r="AD60" s="14"/>
      <c r="AE60" s="579"/>
      <c r="AF60" s="45"/>
      <c r="AG60" s="14"/>
    </row>
    <row r="61" spans="1:33" s="3" customFormat="1" ht="35.1" customHeight="1">
      <c r="A61" s="598"/>
      <c r="B61" s="246">
        <f t="shared" si="4"/>
        <v>54</v>
      </c>
      <c r="C61" s="592"/>
      <c r="E61" s="171" t="b">
        <v>1</v>
      </c>
      <c r="F61" s="168" t="s">
        <v>208</v>
      </c>
      <c r="H61" s="14"/>
      <c r="I61" s="180"/>
      <c r="J61" s="175" t="b">
        <v>1</v>
      </c>
      <c r="K61" s="594" t="s">
        <v>209</v>
      </c>
      <c r="L61" s="175" t="b">
        <v>0</v>
      </c>
      <c r="M61" s="176" t="s">
        <v>210</v>
      </c>
      <c r="N61" s="338">
        <v>44197</v>
      </c>
      <c r="O61" s="175" t="b">
        <v>0</v>
      </c>
      <c r="P61" s="176" t="s">
        <v>204</v>
      </c>
      <c r="Q61" s="176"/>
      <c r="R61" s="174" t="b">
        <v>0</v>
      </c>
      <c r="S61" s="8" t="s">
        <v>211</v>
      </c>
      <c r="T61" s="8" t="s">
        <v>140</v>
      </c>
      <c r="U61" s="175" t="b">
        <v>1</v>
      </c>
      <c r="V61" s="491" t="s">
        <v>212</v>
      </c>
      <c r="W61" s="184"/>
      <c r="X61" s="175" t="b">
        <v>0</v>
      </c>
      <c r="Y61" s="176" t="s">
        <v>213</v>
      </c>
      <c r="Z61" s="500"/>
      <c r="AA61" s="14"/>
      <c r="AB61" s="186"/>
      <c r="AC61" s="492" t="s">
        <v>142</v>
      </c>
      <c r="AD61" s="179"/>
      <c r="AE61" s="493" t="s">
        <v>214</v>
      </c>
      <c r="AF61" s="46"/>
      <c r="AG61" s="14"/>
    </row>
    <row r="62" spans="1:33" s="3" customFormat="1" ht="14.45" customHeight="1">
      <c r="A62" s="598"/>
      <c r="B62" s="246">
        <f t="shared" si="4"/>
        <v>55</v>
      </c>
      <c r="C62" s="592"/>
      <c r="E62" s="171" t="b">
        <v>1</v>
      </c>
      <c r="F62" s="595" t="s">
        <v>215</v>
      </c>
      <c r="H62" s="171" t="b">
        <v>1</v>
      </c>
      <c r="I62" s="180" t="s">
        <v>216</v>
      </c>
      <c r="J62" s="176"/>
      <c r="K62" s="594"/>
      <c r="L62" s="174" t="b">
        <v>0</v>
      </c>
      <c r="M62" s="39" t="s">
        <v>217</v>
      </c>
      <c r="N62" s="523">
        <v>0</v>
      </c>
      <c r="O62" s="174" t="b">
        <v>0</v>
      </c>
      <c r="P62" s="8" t="s">
        <v>217</v>
      </c>
      <c r="Q62" s="523">
        <v>7</v>
      </c>
      <c r="R62" s="581"/>
      <c r="S62" s="581"/>
      <c r="T62" s="581"/>
      <c r="U62" s="590" t="s">
        <v>141</v>
      </c>
      <c r="V62" s="590"/>
      <c r="W62" s="590"/>
      <c r="X62" s="175" t="b">
        <v>1</v>
      </c>
      <c r="Y62" s="8" t="s">
        <v>218</v>
      </c>
      <c r="Z62" s="581" t="s">
        <v>223</v>
      </c>
      <c r="AA62" s="14"/>
      <c r="AB62" s="186"/>
      <c r="AC62" s="20"/>
      <c r="AD62" s="14"/>
      <c r="AE62" s="580"/>
      <c r="AF62" s="45"/>
      <c r="AG62" s="14"/>
    </row>
    <row r="63" spans="1:33" s="3" customFormat="1" ht="30" customHeight="1">
      <c r="A63" s="598"/>
      <c r="B63" s="246">
        <f t="shared" si="4"/>
        <v>56</v>
      </c>
      <c r="C63" s="592"/>
      <c r="F63" s="595"/>
      <c r="H63" s="14"/>
      <c r="I63" s="14"/>
      <c r="J63" s="176"/>
      <c r="K63" s="8"/>
      <c r="L63" s="14"/>
      <c r="M63" s="14"/>
      <c r="N63" s="187"/>
      <c r="O63" s="8"/>
      <c r="P63" s="8"/>
      <c r="Q63" s="8"/>
      <c r="R63" s="581"/>
      <c r="S63" s="581"/>
      <c r="T63" s="581"/>
      <c r="U63" s="175" t="b">
        <v>0</v>
      </c>
      <c r="V63" s="176" t="s">
        <v>219</v>
      </c>
      <c r="W63" s="185"/>
      <c r="X63" s="340"/>
      <c r="Y63" s="14"/>
      <c r="Z63" s="581"/>
      <c r="AA63" s="14"/>
      <c r="AB63" s="14"/>
      <c r="AC63" s="14"/>
      <c r="AD63" s="14"/>
      <c r="AE63" s="580"/>
      <c r="AF63" s="45"/>
      <c r="AG63" s="14"/>
    </row>
    <row r="64" spans="1:33" s="3" customFormat="1" ht="30.6" customHeight="1">
      <c r="A64" s="598"/>
      <c r="B64" s="246">
        <f t="shared" si="4"/>
        <v>57</v>
      </c>
      <c r="C64" s="592"/>
      <c r="E64"/>
      <c r="H64" s="14"/>
      <c r="I64" s="14"/>
      <c r="J64" s="326"/>
      <c r="K64" s="182"/>
      <c r="L64" s="182"/>
      <c r="M64" s="182"/>
      <c r="N64" s="182"/>
      <c r="O64" s="8"/>
      <c r="P64" s="8"/>
      <c r="Q64" s="8"/>
      <c r="R64" s="174" t="b">
        <v>0</v>
      </c>
      <c r="S64" s="8" t="s">
        <v>220</v>
      </c>
      <c r="T64" s="8" t="s">
        <v>140</v>
      </c>
      <c r="U64" s="581"/>
      <c r="V64" s="581"/>
      <c r="X64" s="340"/>
      <c r="Y64" s="14"/>
      <c r="Z64" s="322"/>
      <c r="AA64" s="14"/>
      <c r="AB64" s="14"/>
      <c r="AC64" s="14"/>
      <c r="AD64" s="14"/>
      <c r="AE64" s="14"/>
      <c r="AF64" s="45"/>
      <c r="AG64" s="14"/>
    </row>
    <row r="65" spans="1:33" s="3" customFormat="1">
      <c r="A65" s="598"/>
      <c r="B65" s="246">
        <f t="shared" si="4"/>
        <v>58</v>
      </c>
      <c r="C65" s="592"/>
      <c r="E65"/>
      <c r="H65" s="181"/>
      <c r="I65" s="14"/>
      <c r="J65" s="326"/>
      <c r="K65" s="182"/>
      <c r="L65" s="182"/>
      <c r="M65" s="182"/>
      <c r="N65" s="182"/>
      <c r="O65" s="8"/>
      <c r="P65" s="8"/>
      <c r="Q65" s="8"/>
      <c r="R65" s="581"/>
      <c r="S65" s="581"/>
      <c r="T65" s="581"/>
      <c r="U65" s="175" t="b">
        <v>0</v>
      </c>
      <c r="V65" s="8" t="s">
        <v>221</v>
      </c>
      <c r="W65" s="8"/>
      <c r="X65" s="340"/>
      <c r="Y65" s="14"/>
      <c r="Z65" s="322"/>
      <c r="AA65" s="14"/>
      <c r="AB65" s="14"/>
      <c r="AC65" s="14"/>
      <c r="AD65" s="14"/>
      <c r="AE65" s="14"/>
      <c r="AF65" s="45"/>
      <c r="AG65" s="14"/>
    </row>
    <row r="66" spans="1:33" s="3" customFormat="1" ht="30" customHeight="1" thickBot="1">
      <c r="A66" s="599"/>
      <c r="B66" s="246">
        <f t="shared" si="4"/>
        <v>59</v>
      </c>
      <c r="C66" s="593"/>
      <c r="D66" s="47"/>
      <c r="E66" s="47"/>
      <c r="F66" s="47"/>
      <c r="G66" s="47"/>
      <c r="H66" s="48"/>
      <c r="I66" s="48"/>
      <c r="J66" s="327"/>
      <c r="K66" s="49"/>
      <c r="L66" s="49"/>
      <c r="M66" s="49"/>
      <c r="N66" s="49"/>
      <c r="O66" s="50"/>
      <c r="P66" s="50"/>
      <c r="Q66" s="50"/>
      <c r="R66" s="581"/>
      <c r="S66" s="581"/>
      <c r="T66" s="581"/>
      <c r="U66" s="581"/>
      <c r="V66" s="581"/>
      <c r="W66" s="50"/>
      <c r="X66" s="342"/>
      <c r="Y66" s="48"/>
      <c r="Z66" s="323"/>
      <c r="AA66" s="48"/>
      <c r="AB66" s="48"/>
      <c r="AC66" s="48"/>
      <c r="AD66" s="48"/>
      <c r="AE66" s="48"/>
      <c r="AF66" s="51"/>
      <c r="AG66" s="14"/>
    </row>
    <row r="67" spans="1:33" s="3" customFormat="1" ht="15" hidden="1" customHeight="1" thickBot="1">
      <c r="A67" s="79"/>
      <c r="B67" s="200"/>
      <c r="C67" s="333"/>
      <c r="D67" s="334"/>
      <c r="E67" s="334"/>
      <c r="F67" s="334"/>
      <c r="G67" s="334"/>
      <c r="H67" s="334"/>
      <c r="I67" s="334"/>
      <c r="J67" s="335"/>
      <c r="K67" s="334"/>
      <c r="L67" s="334"/>
      <c r="M67" s="334"/>
      <c r="N67" s="334"/>
      <c r="O67" s="334"/>
      <c r="P67" s="334"/>
      <c r="Q67" s="334"/>
      <c r="R67" s="334"/>
      <c r="S67" s="334"/>
      <c r="T67" s="334"/>
      <c r="U67" s="335"/>
      <c r="V67" s="334"/>
      <c r="W67" s="334"/>
      <c r="X67" s="335"/>
      <c r="Y67" s="334"/>
      <c r="Z67" s="336"/>
      <c r="AA67" s="334"/>
      <c r="AB67" s="334"/>
      <c r="AC67" s="334"/>
      <c r="AD67" s="334"/>
      <c r="AE67" s="334"/>
      <c r="AF67" s="337"/>
      <c r="AG67" s="14"/>
    </row>
    <row r="68" spans="1:33" ht="5.0999999999999996" customHeight="1" thickBot="1">
      <c r="A68" s="79"/>
      <c r="B68" s="200"/>
      <c r="C68" s="332"/>
      <c r="D68" s="197"/>
      <c r="E68" s="197"/>
      <c r="F68" s="197"/>
      <c r="G68" s="197"/>
      <c r="H68" s="197"/>
      <c r="I68" s="197"/>
      <c r="J68" s="330"/>
      <c r="K68" s="197"/>
      <c r="L68" s="197"/>
      <c r="M68" s="197"/>
      <c r="N68" s="197"/>
      <c r="O68" s="197"/>
      <c r="P68" s="197"/>
      <c r="Q68" s="197"/>
      <c r="R68" s="197"/>
      <c r="S68" s="197"/>
      <c r="T68" s="197"/>
      <c r="U68" s="330"/>
      <c r="V68" s="197"/>
      <c r="W68" s="197"/>
      <c r="X68" s="330"/>
      <c r="Y68" s="197"/>
      <c r="Z68" s="331"/>
      <c r="AA68" s="197"/>
      <c r="AB68" s="197"/>
      <c r="AC68" s="197"/>
      <c r="AD68" s="197"/>
      <c r="AE68" s="197"/>
      <c r="AF68" s="261"/>
      <c r="AG68" s="79"/>
    </row>
    <row r="69" spans="1:33" ht="15" hidden="1" customHeight="1" thickBot="1">
      <c r="A69" s="79"/>
      <c r="B69" s="200"/>
      <c r="C69" s="332"/>
      <c r="D69" s="197"/>
      <c r="E69" s="197"/>
      <c r="F69" s="197"/>
      <c r="G69" s="197"/>
      <c r="H69" s="197"/>
      <c r="I69" s="197"/>
      <c r="J69" s="330"/>
      <c r="K69" s="197"/>
      <c r="L69" s="197"/>
      <c r="M69" s="197"/>
      <c r="N69" s="197"/>
      <c r="O69" s="197"/>
      <c r="P69" s="197"/>
      <c r="Q69" s="197"/>
      <c r="R69" s="197"/>
      <c r="S69" s="197"/>
      <c r="T69" s="197"/>
      <c r="U69" s="330"/>
      <c r="V69" s="197"/>
      <c r="W69" s="197"/>
      <c r="X69" s="330"/>
      <c r="Y69" s="197"/>
      <c r="Z69" s="331"/>
      <c r="AA69" s="197"/>
      <c r="AB69" s="197"/>
      <c r="AC69" s="197"/>
      <c r="AD69" s="197"/>
      <c r="AE69" s="197"/>
      <c r="AF69" s="261"/>
      <c r="AG69"/>
    </row>
    <row r="70" spans="1:33" s="12" customFormat="1" ht="29.1" customHeight="1">
      <c r="A70" s="597">
        <f>A58+1</f>
        <v>6</v>
      </c>
      <c r="B70" s="246">
        <f>B58+10</f>
        <v>61</v>
      </c>
      <c r="C70" s="591" t="str">
        <f>VLOOKUP(A70,INputs!$G$3:$O$22,7,FALSE)</f>
        <v>Sub Label-Internal exception</v>
      </c>
      <c r="D70" s="498"/>
      <c r="E70" s="498"/>
      <c r="F70" s="583" t="s">
        <v>141</v>
      </c>
      <c r="G70" s="583"/>
      <c r="H70" s="583" t="s">
        <v>141</v>
      </c>
      <c r="I70" s="583"/>
      <c r="J70" s="584" t="str">
        <f>J$10</f>
        <v>Select a check box</v>
      </c>
      <c r="K70" s="584"/>
      <c r="L70" s="584" t="s">
        <v>141</v>
      </c>
      <c r="M70" s="584"/>
      <c r="N70" s="584"/>
      <c r="O70" s="584" t="s">
        <v>141</v>
      </c>
      <c r="P70" s="584"/>
      <c r="Q70" s="584"/>
      <c r="R70" s="588" t="s">
        <v>198</v>
      </c>
      <c r="S70" s="588"/>
      <c r="T70" s="344" t="s">
        <v>140</v>
      </c>
      <c r="U70" s="589" t="s">
        <v>199</v>
      </c>
      <c r="V70" s="589"/>
      <c r="W70" s="42"/>
      <c r="X70" s="341"/>
      <c r="Y70" s="582" t="s">
        <v>141</v>
      </c>
      <c r="Z70" s="582"/>
      <c r="AA70" s="43"/>
      <c r="AB70" s="583"/>
      <c r="AC70" s="583"/>
      <c r="AD70" s="487"/>
      <c r="AE70" s="489" t="s">
        <v>200</v>
      </c>
      <c r="AF70" s="44"/>
      <c r="AG70" s="499"/>
    </row>
    <row r="71" spans="1:33" s="12" customFormat="1">
      <c r="A71" s="598"/>
      <c r="B71" s="246">
        <f>B70+1</f>
        <v>62</v>
      </c>
      <c r="C71" s="592"/>
      <c r="D71" s="502"/>
      <c r="E71" s="502"/>
      <c r="F71" s="492"/>
      <c r="G71" s="492"/>
      <c r="H71" s="492"/>
      <c r="I71" s="492"/>
      <c r="J71" s="493"/>
      <c r="K71" s="493"/>
      <c r="L71" s="493"/>
      <c r="M71" s="493"/>
      <c r="N71" s="493"/>
      <c r="O71" s="493"/>
      <c r="P71" s="493"/>
      <c r="Q71" s="493"/>
      <c r="R71" s="581"/>
      <c r="S71" s="581"/>
      <c r="T71" s="581"/>
      <c r="U71" s="472"/>
      <c r="V71" s="491" t="s">
        <v>142</v>
      </c>
      <c r="W71" s="185"/>
      <c r="X71" s="343"/>
      <c r="Y71" s="488"/>
      <c r="Z71" s="488"/>
      <c r="AA71" s="499"/>
      <c r="AB71" s="492"/>
      <c r="AC71" s="468" t="s">
        <v>141</v>
      </c>
      <c r="AD71" s="492"/>
      <c r="AE71" s="579"/>
      <c r="AF71" s="46"/>
      <c r="AG71" s="499"/>
    </row>
    <row r="72" spans="1:33" s="3" customFormat="1" ht="30.6">
      <c r="A72" s="598"/>
      <c r="B72" s="246">
        <f t="shared" ref="B72:B78" si="5">B71+1</f>
        <v>63</v>
      </c>
      <c r="C72" s="592"/>
      <c r="E72" s="171" t="b">
        <v>0</v>
      </c>
      <c r="F72" s="3" t="s">
        <v>201</v>
      </c>
      <c r="H72" s="171" t="b">
        <v>0</v>
      </c>
      <c r="I72" s="180" t="s">
        <v>202</v>
      </c>
      <c r="J72" s="172" t="b">
        <v>0</v>
      </c>
      <c r="K72" s="173" t="s">
        <v>203</v>
      </c>
      <c r="L72" s="174" t="b">
        <v>0</v>
      </c>
      <c r="M72" s="8" t="s">
        <v>204</v>
      </c>
      <c r="N72" s="182"/>
      <c r="O72" s="174" t="b">
        <v>0</v>
      </c>
      <c r="P72" s="8" t="s">
        <v>205</v>
      </c>
      <c r="Q72" s="8"/>
      <c r="R72" s="581"/>
      <c r="S72" s="581"/>
      <c r="T72" s="581"/>
      <c r="U72" s="581"/>
      <c r="V72" s="581"/>
      <c r="W72" s="185"/>
      <c r="X72" s="175" t="b">
        <v>0</v>
      </c>
      <c r="Y72" s="176" t="s">
        <v>206</v>
      </c>
      <c r="Z72" s="500"/>
      <c r="AA72" s="340"/>
      <c r="AB72" s="467" t="b">
        <v>0</v>
      </c>
      <c r="AC72" s="340" t="s">
        <v>207</v>
      </c>
      <c r="AD72" s="14"/>
      <c r="AE72" s="579"/>
      <c r="AF72" s="45"/>
      <c r="AG72" s="14"/>
    </row>
    <row r="73" spans="1:33" s="3" customFormat="1" ht="35.1" customHeight="1">
      <c r="A73" s="598"/>
      <c r="B73" s="246">
        <f t="shared" si="5"/>
        <v>64</v>
      </c>
      <c r="C73" s="592"/>
      <c r="E73" s="171" t="b">
        <v>1</v>
      </c>
      <c r="F73" s="168" t="s">
        <v>208</v>
      </c>
      <c r="H73" s="14"/>
      <c r="I73" s="180"/>
      <c r="J73" s="175" t="b">
        <v>0</v>
      </c>
      <c r="K73" s="594" t="s">
        <v>209</v>
      </c>
      <c r="L73" s="175" t="b">
        <v>0</v>
      </c>
      <c r="M73" s="176" t="s">
        <v>210</v>
      </c>
      <c r="N73" s="338">
        <v>44197</v>
      </c>
      <c r="O73" s="175" t="b">
        <v>0</v>
      </c>
      <c r="P73" s="176" t="s">
        <v>204</v>
      </c>
      <c r="Q73" s="176"/>
      <c r="R73" s="174" t="b">
        <v>0</v>
      </c>
      <c r="S73" s="8" t="s">
        <v>211</v>
      </c>
      <c r="T73" s="8" t="s">
        <v>140</v>
      </c>
      <c r="U73" s="175" t="b">
        <v>0</v>
      </c>
      <c r="V73" s="491" t="s">
        <v>212</v>
      </c>
      <c r="W73" s="184"/>
      <c r="X73" s="175" t="b">
        <v>0</v>
      </c>
      <c r="Y73" s="176" t="s">
        <v>213</v>
      </c>
      <c r="Z73" s="500"/>
      <c r="AA73" s="340"/>
      <c r="AB73" s="186"/>
      <c r="AC73" s="492" t="s">
        <v>142</v>
      </c>
      <c r="AD73" s="179"/>
      <c r="AE73" s="493" t="s">
        <v>214</v>
      </c>
      <c r="AF73" s="46"/>
      <c r="AG73" s="14"/>
    </row>
    <row r="74" spans="1:33" s="3" customFormat="1" ht="14.45" customHeight="1">
      <c r="A74" s="598"/>
      <c r="B74" s="246">
        <f t="shared" si="5"/>
        <v>65</v>
      </c>
      <c r="C74" s="592"/>
      <c r="E74" s="171" t="b">
        <v>0</v>
      </c>
      <c r="F74" s="595" t="s">
        <v>215</v>
      </c>
      <c r="H74" s="171" t="b">
        <v>0</v>
      </c>
      <c r="I74" s="180" t="s">
        <v>216</v>
      </c>
      <c r="J74" s="176"/>
      <c r="K74" s="594"/>
      <c r="L74" s="174" t="b">
        <v>0</v>
      </c>
      <c r="M74" s="39" t="s">
        <v>217</v>
      </c>
      <c r="N74" s="523">
        <v>6</v>
      </c>
      <c r="O74" s="174" t="b">
        <v>0</v>
      </c>
      <c r="P74" s="8" t="s">
        <v>217</v>
      </c>
      <c r="Q74" s="523">
        <v>7</v>
      </c>
      <c r="R74" s="581"/>
      <c r="S74" s="581"/>
      <c r="T74" s="581"/>
      <c r="U74" s="590" t="s">
        <v>141</v>
      </c>
      <c r="V74" s="590"/>
      <c r="W74" s="590"/>
      <c r="X74" s="175" t="b">
        <v>1</v>
      </c>
      <c r="Y74" s="8" t="s">
        <v>218</v>
      </c>
      <c r="Z74" s="581" t="s">
        <v>223</v>
      </c>
      <c r="AA74" s="14"/>
      <c r="AB74" s="186"/>
      <c r="AC74" s="20"/>
      <c r="AD74" s="14"/>
      <c r="AE74" s="580"/>
      <c r="AF74" s="45"/>
      <c r="AG74" s="14"/>
    </row>
    <row r="75" spans="1:33" s="3" customFormat="1">
      <c r="A75" s="598"/>
      <c r="B75" s="246">
        <f t="shared" si="5"/>
        <v>66</v>
      </c>
      <c r="C75" s="592"/>
      <c r="F75" s="595"/>
      <c r="H75" s="14"/>
      <c r="I75" s="14"/>
      <c r="J75" s="176"/>
      <c r="K75" s="8"/>
      <c r="L75" s="14"/>
      <c r="M75" s="14"/>
      <c r="N75" s="187"/>
      <c r="O75" s="8"/>
      <c r="P75" s="8"/>
      <c r="Q75" s="8"/>
      <c r="R75" s="581"/>
      <c r="S75" s="581"/>
      <c r="T75" s="581"/>
      <c r="U75" s="175" t="b">
        <v>0</v>
      </c>
      <c r="V75" s="176" t="s">
        <v>219</v>
      </c>
      <c r="W75" s="185"/>
      <c r="X75" s="340"/>
      <c r="Y75" s="14"/>
      <c r="Z75" s="581"/>
      <c r="AA75" s="14"/>
      <c r="AB75" s="14"/>
      <c r="AC75" s="14"/>
      <c r="AD75" s="14"/>
      <c r="AE75" s="580"/>
      <c r="AF75" s="45"/>
      <c r="AG75" s="14"/>
    </row>
    <row r="76" spans="1:33" s="3" customFormat="1" ht="30" customHeight="1">
      <c r="A76" s="598"/>
      <c r="B76" s="246">
        <f t="shared" si="5"/>
        <v>67</v>
      </c>
      <c r="C76" s="592"/>
      <c r="E76"/>
      <c r="H76" s="14"/>
      <c r="I76" s="14"/>
      <c r="J76" s="326"/>
      <c r="K76" s="182"/>
      <c r="L76" s="182"/>
      <c r="M76" s="182"/>
      <c r="N76" s="182"/>
      <c r="O76" s="8"/>
      <c r="P76" s="8"/>
      <c r="Q76" s="8"/>
      <c r="R76" s="174" t="b">
        <v>0</v>
      </c>
      <c r="S76" s="8" t="s">
        <v>220</v>
      </c>
      <c r="T76" s="8" t="s">
        <v>140</v>
      </c>
      <c r="U76" s="581"/>
      <c r="V76" s="581"/>
      <c r="X76" s="340"/>
      <c r="Y76" s="14"/>
      <c r="Z76" s="322"/>
      <c r="AA76" s="14"/>
      <c r="AB76" s="14"/>
      <c r="AC76" s="14"/>
      <c r="AD76" s="14"/>
      <c r="AE76" s="14"/>
      <c r="AF76" s="45"/>
      <c r="AG76" s="14"/>
    </row>
    <row r="77" spans="1:33" s="3" customFormat="1">
      <c r="A77" s="598"/>
      <c r="B77" s="246">
        <f t="shared" si="5"/>
        <v>68</v>
      </c>
      <c r="C77" s="592"/>
      <c r="E77"/>
      <c r="H77" s="181"/>
      <c r="I77" s="14"/>
      <c r="J77" s="326"/>
      <c r="K77" s="182"/>
      <c r="L77" s="182"/>
      <c r="M77" s="182"/>
      <c r="N77" s="182"/>
      <c r="O77" s="8"/>
      <c r="P77" s="8"/>
      <c r="Q77" s="8"/>
      <c r="R77" s="581"/>
      <c r="S77" s="581"/>
      <c r="T77" s="581"/>
      <c r="U77" s="175" t="b">
        <v>0</v>
      </c>
      <c r="V77" s="8" t="s">
        <v>221</v>
      </c>
      <c r="W77" s="8"/>
      <c r="X77" s="340"/>
      <c r="Y77" s="14"/>
      <c r="Z77" s="322"/>
      <c r="AA77" s="14"/>
      <c r="AB77" s="14"/>
      <c r="AC77" s="14"/>
      <c r="AD77" s="14"/>
      <c r="AE77" s="14"/>
      <c r="AF77" s="45"/>
      <c r="AG77" s="14"/>
    </row>
    <row r="78" spans="1:33" s="3" customFormat="1" ht="30" customHeight="1" thickBot="1">
      <c r="A78" s="599"/>
      <c r="B78" s="246">
        <f t="shared" si="5"/>
        <v>69</v>
      </c>
      <c r="C78" s="593"/>
      <c r="D78" s="47"/>
      <c r="E78" s="47"/>
      <c r="F78" s="47"/>
      <c r="G78" s="47"/>
      <c r="H78" s="48"/>
      <c r="I78" s="48"/>
      <c r="J78" s="327"/>
      <c r="K78" s="49"/>
      <c r="L78" s="49"/>
      <c r="M78" s="49"/>
      <c r="N78" s="49"/>
      <c r="O78" s="50"/>
      <c r="P78" s="50"/>
      <c r="Q78" s="50"/>
      <c r="R78" s="581"/>
      <c r="S78" s="581"/>
      <c r="T78" s="581"/>
      <c r="U78" s="581"/>
      <c r="V78" s="581"/>
      <c r="W78" s="50"/>
      <c r="X78" s="342"/>
      <c r="Y78" s="48"/>
      <c r="Z78" s="323"/>
      <c r="AA78" s="48"/>
      <c r="AB78" s="48"/>
      <c r="AC78" s="48"/>
      <c r="AD78" s="48"/>
      <c r="AE78" s="48"/>
      <c r="AF78" s="51"/>
      <c r="AG78" s="14"/>
    </row>
    <row r="79" spans="1:33" s="3" customFormat="1" ht="15" hidden="1" customHeight="1" thickBot="1">
      <c r="A79" s="79"/>
      <c r="B79" s="200"/>
      <c r="C79" s="333"/>
      <c r="D79" s="334"/>
      <c r="E79" s="334"/>
      <c r="F79" s="334"/>
      <c r="G79" s="334"/>
      <c r="H79" s="334"/>
      <c r="I79" s="334"/>
      <c r="J79" s="335"/>
      <c r="K79" s="334"/>
      <c r="L79" s="334"/>
      <c r="M79" s="334"/>
      <c r="N79" s="334"/>
      <c r="O79" s="334"/>
      <c r="P79" s="334"/>
      <c r="Q79" s="334"/>
      <c r="R79" s="334"/>
      <c r="S79" s="334"/>
      <c r="T79" s="334"/>
      <c r="U79" s="335"/>
      <c r="V79" s="334"/>
      <c r="W79" s="334"/>
      <c r="X79" s="335"/>
      <c r="Y79" s="334"/>
      <c r="Z79" s="336"/>
      <c r="AA79" s="334"/>
      <c r="AB79" s="334"/>
      <c r="AC79" s="334"/>
      <c r="AD79" s="334"/>
      <c r="AE79" s="334"/>
      <c r="AF79" s="337"/>
      <c r="AG79" s="14"/>
    </row>
    <row r="80" spans="1:33" ht="5.0999999999999996" customHeight="1" thickBot="1">
      <c r="A80" s="79"/>
      <c r="B80" s="200"/>
      <c r="C80" s="332"/>
      <c r="D80" s="197"/>
      <c r="E80" s="197"/>
      <c r="F80" s="197"/>
      <c r="G80" s="197"/>
      <c r="H80" s="197"/>
      <c r="I80" s="197"/>
      <c r="J80" s="330"/>
      <c r="K80" s="197"/>
      <c r="L80" s="197"/>
      <c r="M80" s="197"/>
      <c r="N80" s="197"/>
      <c r="O80" s="197"/>
      <c r="P80" s="197"/>
      <c r="Q80" s="197"/>
      <c r="R80" s="197"/>
      <c r="S80" s="197"/>
      <c r="T80" s="197"/>
      <c r="U80" s="330"/>
      <c r="V80" s="197"/>
      <c r="W80" s="197"/>
      <c r="X80" s="330"/>
      <c r="Y80" s="197"/>
      <c r="Z80" s="331"/>
      <c r="AA80" s="197"/>
      <c r="AB80" s="197"/>
      <c r="AC80" s="197"/>
      <c r="AD80" s="197"/>
      <c r="AE80" s="197"/>
      <c r="AF80" s="261"/>
      <c r="AG80" s="79"/>
    </row>
    <row r="81" spans="1:33" ht="15" hidden="1" customHeight="1" thickBot="1">
      <c r="A81" s="79"/>
      <c r="B81" s="200"/>
      <c r="C81" s="332"/>
      <c r="D81" s="197"/>
      <c r="E81" s="197"/>
      <c r="F81" s="197"/>
      <c r="G81" s="197"/>
      <c r="H81" s="197"/>
      <c r="I81" s="197"/>
      <c r="J81" s="330"/>
      <c r="K81" s="197"/>
      <c r="L81" s="197"/>
      <c r="M81" s="197"/>
      <c r="N81" s="197"/>
      <c r="O81" s="197"/>
      <c r="P81" s="197"/>
      <c r="Q81" s="197"/>
      <c r="R81" s="197"/>
      <c r="S81" s="197"/>
      <c r="T81" s="197"/>
      <c r="U81" s="330"/>
      <c r="V81" s="197"/>
      <c r="W81" s="197"/>
      <c r="X81" s="330"/>
      <c r="Y81" s="197"/>
      <c r="Z81" s="331"/>
      <c r="AA81" s="197"/>
      <c r="AB81" s="197"/>
      <c r="AC81" s="197"/>
      <c r="AD81" s="197"/>
      <c r="AE81" s="197"/>
      <c r="AF81" s="261"/>
      <c r="AG81"/>
    </row>
    <row r="82" spans="1:33" s="12" customFormat="1" ht="29.1" customHeight="1">
      <c r="A82" s="597">
        <f>A70+1</f>
        <v>7</v>
      </c>
      <c r="B82" s="246">
        <f>B70+10</f>
        <v>71</v>
      </c>
      <c r="C82" s="591" t="str">
        <f>VLOOKUP(A82,INputs!$G$3:$O$22,7,FALSE)</f>
        <v>Parent Label-Highly Confidential</v>
      </c>
      <c r="D82" s="498"/>
      <c r="E82" s="498"/>
      <c r="F82" s="596" t="s">
        <v>224</v>
      </c>
      <c r="G82" s="596"/>
      <c r="H82" s="596" t="s">
        <v>141</v>
      </c>
      <c r="I82" s="596"/>
      <c r="J82" s="584" t="str">
        <f>J$10</f>
        <v>Select a check box</v>
      </c>
      <c r="K82" s="584"/>
      <c r="L82" s="584" t="s">
        <v>141</v>
      </c>
      <c r="M82" s="584"/>
      <c r="N82" s="584"/>
      <c r="O82" s="584" t="s">
        <v>224</v>
      </c>
      <c r="P82" s="584"/>
      <c r="Q82" s="584"/>
      <c r="R82" s="588" t="s">
        <v>198</v>
      </c>
      <c r="S82" s="588"/>
      <c r="T82" s="344" t="s">
        <v>140</v>
      </c>
      <c r="U82" s="589" t="s">
        <v>199</v>
      </c>
      <c r="V82" s="589"/>
      <c r="W82" s="42"/>
      <c r="X82" s="341"/>
      <c r="Y82" s="582" t="s">
        <v>141</v>
      </c>
      <c r="Z82" s="582"/>
      <c r="AA82" s="43"/>
      <c r="AB82" s="583"/>
      <c r="AC82" s="583"/>
      <c r="AD82" s="487"/>
      <c r="AE82" s="489" t="s">
        <v>200</v>
      </c>
      <c r="AF82" s="44"/>
      <c r="AG82" s="499"/>
    </row>
    <row r="83" spans="1:33" s="12" customFormat="1">
      <c r="A83" s="598"/>
      <c r="B83" s="246">
        <f>B82+1</f>
        <v>72</v>
      </c>
      <c r="C83" s="592"/>
      <c r="D83" s="502"/>
      <c r="E83" s="502"/>
      <c r="F83" s="502"/>
      <c r="G83" s="502"/>
      <c r="H83" s="502"/>
      <c r="I83" s="502"/>
      <c r="J83" s="493"/>
      <c r="K83" s="493"/>
      <c r="L83" s="493"/>
      <c r="M83" s="493"/>
      <c r="N83" s="493"/>
      <c r="O83" s="493"/>
      <c r="P83" s="493"/>
      <c r="Q83" s="493"/>
      <c r="R83" s="581"/>
      <c r="S83" s="581"/>
      <c r="T83" s="581"/>
      <c r="U83" s="472"/>
      <c r="V83" s="491" t="s">
        <v>142</v>
      </c>
      <c r="W83" s="185"/>
      <c r="X83" s="343"/>
      <c r="Y83" s="488"/>
      <c r="Z83" s="488"/>
      <c r="AA83" s="499"/>
      <c r="AB83" s="492"/>
      <c r="AC83" s="468" t="s">
        <v>141</v>
      </c>
      <c r="AD83" s="492"/>
      <c r="AE83" s="579"/>
      <c r="AF83" s="46"/>
      <c r="AG83" s="499"/>
    </row>
    <row r="84" spans="1:33" s="3" customFormat="1" ht="30.6">
      <c r="A84" s="598"/>
      <c r="B84" s="246">
        <f t="shared" ref="B84:B90" si="6">B83+1</f>
        <v>73</v>
      </c>
      <c r="C84" s="592"/>
      <c r="E84" s="171" t="b">
        <v>0</v>
      </c>
      <c r="F84" s="3" t="s">
        <v>201</v>
      </c>
      <c r="H84" s="171" t="b">
        <v>0</v>
      </c>
      <c r="I84" s="180" t="s">
        <v>202</v>
      </c>
      <c r="J84" s="172" t="b">
        <v>0</v>
      </c>
      <c r="K84" s="173" t="s">
        <v>203</v>
      </c>
      <c r="L84" s="174" t="b">
        <v>0</v>
      </c>
      <c r="M84" s="8" t="s">
        <v>204</v>
      </c>
      <c r="N84" s="182"/>
      <c r="O84" s="174" t="b">
        <v>0</v>
      </c>
      <c r="P84" s="8" t="s">
        <v>205</v>
      </c>
      <c r="Q84" s="8"/>
      <c r="R84" s="581"/>
      <c r="S84" s="581"/>
      <c r="T84" s="581"/>
      <c r="U84" s="581"/>
      <c r="V84" s="581"/>
      <c r="W84" s="185"/>
      <c r="X84" s="175" t="b">
        <v>0</v>
      </c>
      <c r="Y84" s="176" t="s">
        <v>206</v>
      </c>
      <c r="Z84" s="500"/>
      <c r="AA84" s="14"/>
      <c r="AB84" s="467" t="b">
        <v>0</v>
      </c>
      <c r="AC84" s="340" t="s">
        <v>207</v>
      </c>
      <c r="AD84" s="14"/>
      <c r="AE84" s="579"/>
      <c r="AF84" s="45"/>
      <c r="AG84" s="14"/>
    </row>
    <row r="85" spans="1:33" s="3" customFormat="1" ht="35.1" customHeight="1">
      <c r="A85" s="598"/>
      <c r="B85" s="246">
        <f t="shared" si="6"/>
        <v>74</v>
      </c>
      <c r="C85" s="592"/>
      <c r="E85" s="171" t="b">
        <v>0</v>
      </c>
      <c r="F85" s="168" t="s">
        <v>208</v>
      </c>
      <c r="H85" s="14"/>
      <c r="I85" s="180"/>
      <c r="J85" s="175" t="b">
        <v>0</v>
      </c>
      <c r="K85" s="594" t="s">
        <v>209</v>
      </c>
      <c r="L85" s="175" t="b">
        <v>0</v>
      </c>
      <c r="M85" s="176" t="s">
        <v>210</v>
      </c>
      <c r="N85" s="338">
        <v>44197</v>
      </c>
      <c r="O85" s="175" t="b">
        <v>0</v>
      </c>
      <c r="P85" s="176" t="s">
        <v>204</v>
      </c>
      <c r="Q85" s="176"/>
      <c r="R85" s="174" t="b">
        <v>0</v>
      </c>
      <c r="S85" s="8" t="s">
        <v>211</v>
      </c>
      <c r="T85" s="8" t="s">
        <v>140</v>
      </c>
      <c r="U85" s="175" t="b">
        <v>0</v>
      </c>
      <c r="V85" s="491" t="s">
        <v>212</v>
      </c>
      <c r="W85" s="184"/>
      <c r="X85" s="175" t="b">
        <v>0</v>
      </c>
      <c r="Y85" s="176" t="s">
        <v>213</v>
      </c>
      <c r="Z85" s="500"/>
      <c r="AA85" s="14"/>
      <c r="AB85" s="186"/>
      <c r="AC85" s="492" t="s">
        <v>142</v>
      </c>
      <c r="AD85" s="179"/>
      <c r="AE85" s="493" t="s">
        <v>214</v>
      </c>
      <c r="AF85" s="46"/>
      <c r="AG85" s="14"/>
    </row>
    <row r="86" spans="1:33" s="3" customFormat="1" ht="14.45" customHeight="1">
      <c r="A86" s="598"/>
      <c r="B86" s="246">
        <f t="shared" si="6"/>
        <v>75</v>
      </c>
      <c r="C86" s="592"/>
      <c r="E86" s="171" t="b">
        <v>0</v>
      </c>
      <c r="F86" s="595" t="s">
        <v>215</v>
      </c>
      <c r="H86" s="171" t="b">
        <v>0</v>
      </c>
      <c r="I86" s="180" t="s">
        <v>216</v>
      </c>
      <c r="J86" s="176"/>
      <c r="K86" s="594"/>
      <c r="L86" s="174" t="b">
        <v>0</v>
      </c>
      <c r="M86" s="39" t="s">
        <v>217</v>
      </c>
      <c r="N86" s="523">
        <v>6</v>
      </c>
      <c r="O86" s="174" t="b">
        <v>0</v>
      </c>
      <c r="P86" s="8" t="s">
        <v>217</v>
      </c>
      <c r="Q86" s="523">
        <v>7</v>
      </c>
      <c r="R86" s="581"/>
      <c r="S86" s="581"/>
      <c r="T86" s="581"/>
      <c r="U86" s="590" t="s">
        <v>141</v>
      </c>
      <c r="V86" s="590"/>
      <c r="W86" s="590"/>
      <c r="X86" s="175" t="b">
        <v>0</v>
      </c>
      <c r="Y86" s="8" t="s">
        <v>218</v>
      </c>
      <c r="Z86" s="581"/>
      <c r="AA86" s="14"/>
      <c r="AB86" s="186"/>
      <c r="AC86" s="20"/>
      <c r="AD86" s="14"/>
      <c r="AE86" s="580"/>
      <c r="AF86" s="45"/>
      <c r="AG86" s="14"/>
    </row>
    <row r="87" spans="1:33" s="3" customFormat="1">
      <c r="A87" s="598"/>
      <c r="B87" s="246">
        <f t="shared" si="6"/>
        <v>76</v>
      </c>
      <c r="C87" s="592"/>
      <c r="F87" s="595"/>
      <c r="H87" s="14"/>
      <c r="I87" s="14"/>
      <c r="J87" s="176"/>
      <c r="K87" s="8"/>
      <c r="L87" s="14"/>
      <c r="M87" s="14"/>
      <c r="N87" s="187"/>
      <c r="O87" s="8"/>
      <c r="P87" s="8"/>
      <c r="Q87" s="8"/>
      <c r="R87" s="581"/>
      <c r="S87" s="581"/>
      <c r="T87" s="581"/>
      <c r="U87" s="175" t="b">
        <v>0</v>
      </c>
      <c r="V87" s="176" t="s">
        <v>219</v>
      </c>
      <c r="W87" s="185"/>
      <c r="X87" s="340"/>
      <c r="Y87" s="14"/>
      <c r="Z87" s="581"/>
      <c r="AA87" s="14"/>
      <c r="AB87" s="14"/>
      <c r="AC87" s="14"/>
      <c r="AD87" s="14"/>
      <c r="AE87" s="580"/>
      <c r="AF87" s="45"/>
      <c r="AG87" s="14"/>
    </row>
    <row r="88" spans="1:33" s="3" customFormat="1" ht="30" customHeight="1">
      <c r="A88" s="598"/>
      <c r="B88" s="246">
        <f t="shared" si="6"/>
        <v>77</v>
      </c>
      <c r="C88" s="592"/>
      <c r="E88"/>
      <c r="H88" s="14"/>
      <c r="I88" s="14"/>
      <c r="J88" s="326"/>
      <c r="K88" s="182"/>
      <c r="L88" s="182"/>
      <c r="M88" s="182"/>
      <c r="N88" s="182"/>
      <c r="O88" s="8"/>
      <c r="P88" s="8"/>
      <c r="Q88" s="8"/>
      <c r="R88" s="174" t="b">
        <v>0</v>
      </c>
      <c r="S88" s="8" t="s">
        <v>220</v>
      </c>
      <c r="T88" s="8" t="s">
        <v>140</v>
      </c>
      <c r="U88" s="581"/>
      <c r="V88" s="581"/>
      <c r="X88" s="340"/>
      <c r="Y88" s="14"/>
      <c r="Z88" s="322"/>
      <c r="AA88" s="14"/>
      <c r="AB88" s="14"/>
      <c r="AC88" s="14"/>
      <c r="AD88" s="14"/>
      <c r="AE88" s="14"/>
      <c r="AF88" s="45"/>
      <c r="AG88" s="14"/>
    </row>
    <row r="89" spans="1:33" s="3" customFormat="1">
      <c r="A89" s="598"/>
      <c r="B89" s="246">
        <f t="shared" si="6"/>
        <v>78</v>
      </c>
      <c r="C89" s="592"/>
      <c r="E89"/>
      <c r="H89" s="181"/>
      <c r="I89" s="14"/>
      <c r="J89" s="326"/>
      <c r="K89" s="182"/>
      <c r="L89" s="182"/>
      <c r="M89" s="182"/>
      <c r="N89" s="182"/>
      <c r="O89" s="8"/>
      <c r="P89" s="8"/>
      <c r="Q89" s="8"/>
      <c r="R89" s="581"/>
      <c r="S89" s="581"/>
      <c r="T89" s="581"/>
      <c r="U89" s="175" t="b">
        <v>0</v>
      </c>
      <c r="V89" s="8" t="s">
        <v>221</v>
      </c>
      <c r="W89" s="8"/>
      <c r="X89" s="340"/>
      <c r="Y89" s="14"/>
      <c r="Z89" s="322"/>
      <c r="AA89" s="14"/>
      <c r="AB89" s="14"/>
      <c r="AC89" s="14"/>
      <c r="AD89" s="14"/>
      <c r="AE89" s="14"/>
      <c r="AF89" s="45"/>
      <c r="AG89" s="14"/>
    </row>
    <row r="90" spans="1:33" s="3" customFormat="1" ht="30" customHeight="1" thickBot="1">
      <c r="A90" s="599"/>
      <c r="B90" s="246">
        <f t="shared" si="6"/>
        <v>79</v>
      </c>
      <c r="C90" s="593"/>
      <c r="D90" s="47"/>
      <c r="E90" s="47"/>
      <c r="F90" s="47"/>
      <c r="G90" s="47"/>
      <c r="H90" s="48"/>
      <c r="I90" s="48"/>
      <c r="J90" s="327"/>
      <c r="K90" s="49"/>
      <c r="L90" s="49"/>
      <c r="M90" s="49"/>
      <c r="N90" s="49"/>
      <c r="O90" s="50"/>
      <c r="P90" s="50"/>
      <c r="Q90" s="50"/>
      <c r="R90" s="581"/>
      <c r="S90" s="581"/>
      <c r="T90" s="581"/>
      <c r="U90" s="581"/>
      <c r="V90" s="581"/>
      <c r="W90" s="50"/>
      <c r="X90" s="342"/>
      <c r="Y90" s="48"/>
      <c r="Z90" s="323"/>
      <c r="AA90" s="48"/>
      <c r="AB90" s="48"/>
      <c r="AC90" s="48"/>
      <c r="AD90" s="48"/>
      <c r="AE90" s="48"/>
      <c r="AF90" s="51"/>
      <c r="AG90" s="14"/>
    </row>
    <row r="91" spans="1:33" s="3" customFormat="1" ht="15" hidden="1" customHeight="1" thickBot="1">
      <c r="A91" s="79"/>
      <c r="B91" s="200"/>
      <c r="C91" s="333"/>
      <c r="D91" s="334"/>
      <c r="E91" s="334"/>
      <c r="F91" s="334"/>
      <c r="G91" s="334"/>
      <c r="H91" s="334"/>
      <c r="I91" s="334"/>
      <c r="J91" s="335"/>
      <c r="K91" s="334"/>
      <c r="L91" s="334"/>
      <c r="M91" s="334"/>
      <c r="N91" s="334"/>
      <c r="O91" s="334"/>
      <c r="P91" s="334"/>
      <c r="Q91" s="334"/>
      <c r="R91" s="334"/>
      <c r="S91" s="334"/>
      <c r="T91" s="334"/>
      <c r="U91" s="335"/>
      <c r="V91" s="334"/>
      <c r="W91" s="334"/>
      <c r="X91" s="335"/>
      <c r="Y91" s="334"/>
      <c r="Z91" s="336"/>
      <c r="AA91" s="334"/>
      <c r="AB91" s="334"/>
      <c r="AC91" s="334"/>
      <c r="AD91" s="334"/>
      <c r="AE91" s="334"/>
      <c r="AF91" s="337"/>
      <c r="AG91" s="14"/>
    </row>
    <row r="92" spans="1:33" ht="5.0999999999999996" customHeight="1" thickBot="1">
      <c r="A92" s="79"/>
      <c r="B92" s="200"/>
      <c r="C92" s="332"/>
      <c r="D92" s="197"/>
      <c r="E92" s="197"/>
      <c r="F92" s="197"/>
      <c r="G92" s="197"/>
      <c r="H92" s="197"/>
      <c r="I92" s="197"/>
      <c r="J92" s="330"/>
      <c r="K92" s="197"/>
      <c r="L92" s="197"/>
      <c r="M92" s="197"/>
      <c r="N92" s="197"/>
      <c r="O92" s="197"/>
      <c r="P92" s="197"/>
      <c r="Q92" s="197"/>
      <c r="R92" s="197"/>
      <c r="S92" s="197"/>
      <c r="T92" s="197"/>
      <c r="U92" s="330"/>
      <c r="V92" s="197"/>
      <c r="W92" s="197"/>
      <c r="X92" s="330"/>
      <c r="Y92" s="197"/>
      <c r="Z92" s="331"/>
      <c r="AA92" s="197"/>
      <c r="AB92" s="197"/>
      <c r="AC92" s="197"/>
      <c r="AD92" s="197"/>
      <c r="AE92" s="197"/>
      <c r="AF92" s="261"/>
      <c r="AG92" s="79"/>
    </row>
    <row r="93" spans="1:33" ht="15" hidden="1" customHeight="1" thickBot="1">
      <c r="A93" s="79"/>
      <c r="B93" s="200"/>
      <c r="C93" s="332"/>
      <c r="D93" s="197"/>
      <c r="E93" s="197"/>
      <c r="F93" s="197"/>
      <c r="G93" s="197"/>
      <c r="H93" s="197"/>
      <c r="I93" s="197"/>
      <c r="J93" s="330"/>
      <c r="K93" s="197"/>
      <c r="L93" s="197"/>
      <c r="M93" s="197"/>
      <c r="N93" s="197"/>
      <c r="O93" s="197"/>
      <c r="P93" s="197"/>
      <c r="Q93" s="197"/>
      <c r="R93" s="197"/>
      <c r="S93" s="197"/>
      <c r="T93" s="197"/>
      <c r="U93" s="330"/>
      <c r="V93" s="197"/>
      <c r="W93" s="197"/>
      <c r="X93" s="330"/>
      <c r="Y93" s="197"/>
      <c r="Z93" s="331"/>
      <c r="AA93" s="197"/>
      <c r="AB93" s="197"/>
      <c r="AC93" s="197"/>
      <c r="AD93" s="197"/>
      <c r="AE93" s="197"/>
      <c r="AF93" s="261"/>
      <c r="AG93"/>
    </row>
    <row r="94" spans="1:33" s="12" customFormat="1" ht="29.1" customHeight="1">
      <c r="A94" s="597">
        <f>A82+1</f>
        <v>8</v>
      </c>
      <c r="B94" s="246">
        <f>B82+10</f>
        <v>81</v>
      </c>
      <c r="C94" s="591" t="str">
        <f>VLOOKUP(A94,INputs!$G$3:$O$22,7,FALSE)</f>
        <v>Sub Label-All Employees</v>
      </c>
      <c r="D94" s="498"/>
      <c r="E94" s="498"/>
      <c r="F94" s="583" t="s">
        <v>141</v>
      </c>
      <c r="G94" s="583"/>
      <c r="H94" s="583" t="s">
        <v>141</v>
      </c>
      <c r="I94" s="583"/>
      <c r="J94" s="584" t="str">
        <f>J$10</f>
        <v>Select a check box</v>
      </c>
      <c r="K94" s="584"/>
      <c r="L94" s="584" t="s">
        <v>141</v>
      </c>
      <c r="M94" s="584"/>
      <c r="N94" s="584"/>
      <c r="O94" s="584" t="s">
        <v>141</v>
      </c>
      <c r="P94" s="584"/>
      <c r="Q94" s="584"/>
      <c r="R94" s="588" t="s">
        <v>198</v>
      </c>
      <c r="S94" s="588"/>
      <c r="T94" s="344" t="s">
        <v>140</v>
      </c>
      <c r="U94" s="589" t="s">
        <v>199</v>
      </c>
      <c r="V94" s="589"/>
      <c r="W94" s="42"/>
      <c r="X94" s="341"/>
      <c r="Y94" s="582" t="s">
        <v>141</v>
      </c>
      <c r="Z94" s="582"/>
      <c r="AA94" s="43"/>
      <c r="AB94" s="583"/>
      <c r="AC94" s="583"/>
      <c r="AD94" s="487"/>
      <c r="AE94" s="489" t="s">
        <v>200</v>
      </c>
      <c r="AF94" s="44"/>
      <c r="AG94" s="499"/>
    </row>
    <row r="95" spans="1:33" s="12" customFormat="1">
      <c r="A95" s="598"/>
      <c r="B95" s="246">
        <f>B94+1</f>
        <v>82</v>
      </c>
      <c r="C95" s="592"/>
      <c r="D95" s="502"/>
      <c r="E95" s="502"/>
      <c r="F95" s="492"/>
      <c r="G95" s="492"/>
      <c r="H95" s="492"/>
      <c r="I95" s="492"/>
      <c r="J95" s="493"/>
      <c r="K95" s="493"/>
      <c r="L95" s="493"/>
      <c r="M95" s="493"/>
      <c r="N95" s="493"/>
      <c r="O95" s="493"/>
      <c r="P95" s="493"/>
      <c r="Q95" s="493"/>
      <c r="R95" s="581" t="s">
        <v>222</v>
      </c>
      <c r="S95" s="581"/>
      <c r="T95" s="581"/>
      <c r="U95" s="472"/>
      <c r="V95" s="491" t="s">
        <v>142</v>
      </c>
      <c r="W95" s="185"/>
      <c r="X95" s="343"/>
      <c r="Y95" s="488"/>
      <c r="Z95" s="488"/>
      <c r="AA95" s="499"/>
      <c r="AB95" s="492"/>
      <c r="AC95" s="468" t="s">
        <v>141</v>
      </c>
      <c r="AD95" s="492"/>
      <c r="AE95" s="579" t="s">
        <v>225</v>
      </c>
      <c r="AF95" s="46"/>
      <c r="AG95" s="499"/>
    </row>
    <row r="96" spans="1:33" s="3" customFormat="1" ht="30.6">
      <c r="A96" s="598"/>
      <c r="B96" s="246">
        <f t="shared" ref="B96:B102" si="7">B95+1</f>
        <v>83</v>
      </c>
      <c r="C96" s="592"/>
      <c r="E96" s="171" t="b">
        <v>1</v>
      </c>
      <c r="F96" s="3" t="s">
        <v>201</v>
      </c>
      <c r="H96" s="171" t="b">
        <v>0</v>
      </c>
      <c r="I96" s="180" t="s">
        <v>202</v>
      </c>
      <c r="J96" s="172" t="b">
        <v>1</v>
      </c>
      <c r="K96" s="173" t="s">
        <v>203</v>
      </c>
      <c r="L96" s="174" t="b">
        <v>1</v>
      </c>
      <c r="M96" s="8" t="s">
        <v>204</v>
      </c>
      <c r="N96" s="182"/>
      <c r="O96" s="174" t="b">
        <v>1</v>
      </c>
      <c r="P96" s="8" t="s">
        <v>205</v>
      </c>
      <c r="Q96" s="8"/>
      <c r="R96" s="581"/>
      <c r="S96" s="581"/>
      <c r="T96" s="581"/>
      <c r="U96" s="581"/>
      <c r="V96" s="581"/>
      <c r="W96" s="185"/>
      <c r="X96" s="175" t="b">
        <v>0</v>
      </c>
      <c r="Y96" s="176" t="s">
        <v>206</v>
      </c>
      <c r="Z96" s="500"/>
      <c r="AA96" s="14"/>
      <c r="AB96" s="469" t="b">
        <v>1</v>
      </c>
      <c r="AC96" s="470" t="s">
        <v>207</v>
      </c>
      <c r="AD96" s="14"/>
      <c r="AE96" s="579"/>
      <c r="AF96" s="45"/>
      <c r="AG96" s="14"/>
    </row>
    <row r="97" spans="1:33" s="3" customFormat="1" ht="35.1" customHeight="1">
      <c r="A97" s="598"/>
      <c r="B97" s="246">
        <f t="shared" si="7"/>
        <v>84</v>
      </c>
      <c r="C97" s="592"/>
      <c r="E97" s="171" t="b">
        <v>1</v>
      </c>
      <c r="F97" s="168" t="s">
        <v>208</v>
      </c>
      <c r="H97" s="14"/>
      <c r="I97" s="180"/>
      <c r="J97" s="175" t="b">
        <v>0</v>
      </c>
      <c r="K97" s="594" t="s">
        <v>209</v>
      </c>
      <c r="L97" s="175" t="b">
        <v>0</v>
      </c>
      <c r="M97" s="176" t="s">
        <v>210</v>
      </c>
      <c r="N97" s="338">
        <v>44197</v>
      </c>
      <c r="O97" s="175" t="b">
        <v>0</v>
      </c>
      <c r="P97" s="176" t="s">
        <v>204</v>
      </c>
      <c r="Q97" s="176"/>
      <c r="R97" s="174" t="b">
        <v>1</v>
      </c>
      <c r="S97" s="8" t="s">
        <v>211</v>
      </c>
      <c r="T97" s="8" t="s">
        <v>140</v>
      </c>
      <c r="U97" s="175" t="b">
        <v>0</v>
      </c>
      <c r="V97" s="491" t="s">
        <v>212</v>
      </c>
      <c r="W97" s="184"/>
      <c r="X97" s="175" t="b">
        <v>0</v>
      </c>
      <c r="Y97" s="176" t="s">
        <v>213</v>
      </c>
      <c r="Z97" s="500"/>
      <c r="AA97" s="14"/>
      <c r="AB97" s="186"/>
      <c r="AC97" s="492" t="s">
        <v>142</v>
      </c>
      <c r="AD97" s="179"/>
      <c r="AE97" s="493" t="s">
        <v>214</v>
      </c>
      <c r="AF97" s="46"/>
      <c r="AG97" s="14"/>
    </row>
    <row r="98" spans="1:33" s="3" customFormat="1" ht="14.45" customHeight="1">
      <c r="A98" s="598"/>
      <c r="B98" s="246">
        <f t="shared" si="7"/>
        <v>85</v>
      </c>
      <c r="C98" s="592"/>
      <c r="E98" s="171" t="b">
        <v>0</v>
      </c>
      <c r="F98" s="595" t="s">
        <v>215</v>
      </c>
      <c r="H98" s="171" t="b">
        <v>1</v>
      </c>
      <c r="I98" s="180" t="s">
        <v>216</v>
      </c>
      <c r="J98" s="176"/>
      <c r="K98" s="594"/>
      <c r="L98" s="174" t="b">
        <v>0</v>
      </c>
      <c r="M98" s="39" t="s">
        <v>217</v>
      </c>
      <c r="N98" s="523">
        <v>6</v>
      </c>
      <c r="O98" s="174" t="b">
        <v>0</v>
      </c>
      <c r="P98" s="8" t="s">
        <v>217</v>
      </c>
      <c r="Q98" s="523">
        <v>7</v>
      </c>
      <c r="R98" s="581" t="s">
        <v>226</v>
      </c>
      <c r="S98" s="581"/>
      <c r="T98" s="581"/>
      <c r="U98" s="590" t="s">
        <v>141</v>
      </c>
      <c r="V98" s="590"/>
      <c r="W98" s="590"/>
      <c r="X98" s="175" t="b">
        <v>1</v>
      </c>
      <c r="Y98" s="8" t="s">
        <v>218</v>
      </c>
      <c r="Z98" s="581" t="s">
        <v>227</v>
      </c>
      <c r="AA98" s="14"/>
      <c r="AB98" s="186"/>
      <c r="AC98" s="20" t="s">
        <v>28</v>
      </c>
      <c r="AD98" s="14"/>
      <c r="AE98" s="580" t="s">
        <v>228</v>
      </c>
      <c r="AF98" s="45"/>
      <c r="AG98" s="14"/>
    </row>
    <row r="99" spans="1:33" s="3" customFormat="1">
      <c r="A99" s="598"/>
      <c r="B99" s="246">
        <f t="shared" si="7"/>
        <v>86</v>
      </c>
      <c r="C99" s="592"/>
      <c r="F99" s="595"/>
      <c r="H99" s="14"/>
      <c r="I99" s="14"/>
      <c r="J99" s="176"/>
      <c r="K99" s="8"/>
      <c r="L99" s="14"/>
      <c r="M99" s="14"/>
      <c r="N99" s="187"/>
      <c r="O99" s="8"/>
      <c r="P99" s="8"/>
      <c r="Q99" s="8"/>
      <c r="R99" s="581"/>
      <c r="S99" s="581"/>
      <c r="T99" s="581"/>
      <c r="U99" s="175" t="b">
        <v>0</v>
      </c>
      <c r="V99" s="176" t="s">
        <v>219</v>
      </c>
      <c r="W99" s="185"/>
      <c r="X99" s="340"/>
      <c r="Y99" s="14"/>
      <c r="Z99" s="581"/>
      <c r="AA99" s="14"/>
      <c r="AB99" s="14"/>
      <c r="AC99" s="14"/>
      <c r="AD99" s="14"/>
      <c r="AE99" s="580"/>
      <c r="AF99" s="45"/>
      <c r="AG99" s="14"/>
    </row>
    <row r="100" spans="1:33" s="3" customFormat="1" ht="30" customHeight="1">
      <c r="A100" s="598"/>
      <c r="B100" s="246">
        <f t="shared" si="7"/>
        <v>87</v>
      </c>
      <c r="C100" s="592"/>
      <c r="E100"/>
      <c r="H100" s="14"/>
      <c r="I100" s="14"/>
      <c r="J100" s="326"/>
      <c r="K100" s="182"/>
      <c r="L100" s="182"/>
      <c r="M100" s="182"/>
      <c r="N100" s="182"/>
      <c r="O100" s="8"/>
      <c r="P100" s="8"/>
      <c r="Q100" s="8"/>
      <c r="R100" s="174" t="b">
        <v>0</v>
      </c>
      <c r="S100" s="8" t="s">
        <v>220</v>
      </c>
      <c r="T100" s="8" t="s">
        <v>140</v>
      </c>
      <c r="U100" s="581"/>
      <c r="V100" s="581"/>
      <c r="X100" s="340"/>
      <c r="Y100" s="14"/>
      <c r="Z100" s="322"/>
      <c r="AA100" s="14"/>
      <c r="AB100" s="14"/>
      <c r="AC100" s="14"/>
      <c r="AD100" s="14"/>
      <c r="AE100" s="14"/>
      <c r="AF100" s="45"/>
      <c r="AG100" s="14"/>
    </row>
    <row r="101" spans="1:33" s="3" customFormat="1">
      <c r="A101" s="598"/>
      <c r="B101" s="246">
        <f t="shared" si="7"/>
        <v>88</v>
      </c>
      <c r="C101" s="592"/>
      <c r="E101"/>
      <c r="H101" s="181"/>
      <c r="I101" s="14"/>
      <c r="J101" s="326"/>
      <c r="K101" s="182"/>
      <c r="L101" s="182"/>
      <c r="M101" s="182"/>
      <c r="N101" s="182"/>
      <c r="O101" s="8"/>
      <c r="P101" s="8"/>
      <c r="Q101" s="8"/>
      <c r="R101" s="581"/>
      <c r="S101" s="581"/>
      <c r="T101" s="581"/>
      <c r="U101" s="175" t="b">
        <v>0</v>
      </c>
      <c r="V101" s="8" t="s">
        <v>221</v>
      </c>
      <c r="W101" s="8"/>
      <c r="X101" s="340"/>
      <c r="Y101" s="14"/>
      <c r="Z101" s="322"/>
      <c r="AA101" s="14"/>
      <c r="AB101" s="14"/>
      <c r="AC101" s="14"/>
      <c r="AD101" s="14"/>
      <c r="AE101" s="14"/>
      <c r="AF101" s="45"/>
      <c r="AG101" s="14"/>
    </row>
    <row r="102" spans="1:33" s="3" customFormat="1" ht="30" customHeight="1" thickBot="1">
      <c r="A102" s="599"/>
      <c r="B102" s="246">
        <f t="shared" si="7"/>
        <v>89</v>
      </c>
      <c r="C102" s="593"/>
      <c r="D102" s="47"/>
      <c r="E102" s="47"/>
      <c r="F102" s="47"/>
      <c r="G102" s="47"/>
      <c r="H102" s="48"/>
      <c r="I102" s="48"/>
      <c r="J102" s="327"/>
      <c r="K102" s="49"/>
      <c r="L102" s="49"/>
      <c r="M102" s="49"/>
      <c r="N102" s="49"/>
      <c r="O102" s="50"/>
      <c r="P102" s="50"/>
      <c r="Q102" s="50"/>
      <c r="R102" s="581"/>
      <c r="S102" s="581"/>
      <c r="T102" s="581"/>
      <c r="U102" s="581"/>
      <c r="V102" s="581"/>
      <c r="W102" s="50"/>
      <c r="X102" s="342"/>
      <c r="Y102" s="48"/>
      <c r="Z102" s="323"/>
      <c r="AA102" s="48"/>
      <c r="AB102" s="48"/>
      <c r="AC102" s="48"/>
      <c r="AD102" s="48"/>
      <c r="AE102" s="48"/>
      <c r="AF102" s="51"/>
      <c r="AG102" s="14"/>
    </row>
    <row r="103" spans="1:33" s="3" customFormat="1" ht="15" hidden="1" customHeight="1" thickBot="1">
      <c r="A103" s="79"/>
      <c r="B103" s="200"/>
      <c r="C103" s="333"/>
      <c r="D103" s="334"/>
      <c r="E103" s="334"/>
      <c r="F103" s="334"/>
      <c r="G103" s="334"/>
      <c r="H103" s="334"/>
      <c r="I103" s="334"/>
      <c r="J103" s="335"/>
      <c r="K103" s="334"/>
      <c r="L103" s="334"/>
      <c r="M103" s="334"/>
      <c r="N103" s="334"/>
      <c r="O103" s="334"/>
      <c r="P103" s="334"/>
      <c r="Q103" s="334"/>
      <c r="R103" s="334"/>
      <c r="S103" s="334"/>
      <c r="T103" s="334"/>
      <c r="U103" s="335"/>
      <c r="V103" s="334"/>
      <c r="W103" s="334"/>
      <c r="X103" s="335"/>
      <c r="Y103" s="334"/>
      <c r="Z103" s="336"/>
      <c r="AA103" s="334"/>
      <c r="AB103" s="334"/>
      <c r="AC103" s="334"/>
      <c r="AD103" s="334"/>
      <c r="AE103" s="334"/>
      <c r="AF103" s="337"/>
      <c r="AG103" s="14"/>
    </row>
    <row r="104" spans="1:33" ht="5.0999999999999996" customHeight="1" thickBot="1">
      <c r="A104" s="79"/>
      <c r="B104" s="200"/>
      <c r="C104" s="332"/>
      <c r="D104" s="197"/>
      <c r="E104" s="197"/>
      <c r="F104" s="197"/>
      <c r="G104" s="197"/>
      <c r="H104" s="197"/>
      <c r="I104" s="197"/>
      <c r="J104" s="330"/>
      <c r="K104" s="197"/>
      <c r="L104" s="197"/>
      <c r="M104" s="197"/>
      <c r="N104" s="197"/>
      <c r="O104" s="197"/>
      <c r="P104" s="197"/>
      <c r="Q104" s="197"/>
      <c r="R104" s="197"/>
      <c r="S104" s="197"/>
      <c r="T104" s="197"/>
      <c r="U104" s="330"/>
      <c r="V104" s="197"/>
      <c r="W104" s="197"/>
      <c r="X104" s="330"/>
      <c r="Y104" s="197"/>
      <c r="Z104" s="331"/>
      <c r="AA104" s="197"/>
      <c r="AB104" s="197"/>
      <c r="AC104" s="197"/>
      <c r="AD104" s="197"/>
      <c r="AE104" s="197"/>
      <c r="AF104" s="261"/>
      <c r="AG104" s="79"/>
    </row>
    <row r="105" spans="1:33" ht="15" hidden="1" customHeight="1" thickBot="1">
      <c r="A105" s="79"/>
      <c r="B105" s="200"/>
      <c r="C105" s="332"/>
      <c r="D105" s="197"/>
      <c r="E105" s="197"/>
      <c r="F105" s="197"/>
      <c r="G105" s="197"/>
      <c r="H105" s="197"/>
      <c r="I105" s="197"/>
      <c r="J105" s="330"/>
      <c r="K105" s="197"/>
      <c r="L105" s="197"/>
      <c r="M105" s="197"/>
      <c r="N105" s="197"/>
      <c r="O105" s="197"/>
      <c r="P105" s="197"/>
      <c r="Q105" s="197"/>
      <c r="R105" s="197"/>
      <c r="S105" s="197"/>
      <c r="T105" s="197"/>
      <c r="U105" s="330"/>
      <c r="V105" s="197"/>
      <c r="W105" s="197"/>
      <c r="X105" s="330"/>
      <c r="Y105" s="197"/>
      <c r="Z105" s="331"/>
      <c r="AA105" s="197"/>
      <c r="AB105" s="197"/>
      <c r="AC105" s="197"/>
      <c r="AD105" s="197"/>
      <c r="AE105" s="197"/>
      <c r="AF105" s="261"/>
      <c r="AG105"/>
    </row>
    <row r="106" spans="1:33" ht="29.1" customHeight="1">
      <c r="A106" s="597">
        <f>A94+1</f>
        <v>9</v>
      </c>
      <c r="B106" s="246">
        <f>B94+10</f>
        <v>91</v>
      </c>
      <c r="C106" s="591" t="str">
        <f>VLOOKUP(A106,INputs!$G$3:$O$22,7,FALSE)</f>
        <v>Sub Label-Specific People</v>
      </c>
      <c r="D106" s="498"/>
      <c r="E106" s="498"/>
      <c r="F106" s="583" t="s">
        <v>141</v>
      </c>
      <c r="G106" s="583"/>
      <c r="H106" s="583" t="s">
        <v>141</v>
      </c>
      <c r="I106" s="583"/>
      <c r="J106" s="584" t="str">
        <f>J$10</f>
        <v>Select a check box</v>
      </c>
      <c r="K106" s="584"/>
      <c r="L106" s="584" t="s">
        <v>141</v>
      </c>
      <c r="M106" s="584"/>
      <c r="N106" s="584"/>
      <c r="O106" s="584" t="s">
        <v>141</v>
      </c>
      <c r="P106" s="584"/>
      <c r="Q106" s="584"/>
      <c r="R106" s="588" t="s">
        <v>198</v>
      </c>
      <c r="S106" s="588"/>
      <c r="T106" s="344" t="s">
        <v>140</v>
      </c>
      <c r="U106" s="589" t="s">
        <v>199</v>
      </c>
      <c r="V106" s="589"/>
      <c r="W106" s="42"/>
      <c r="X106" s="341"/>
      <c r="Y106" s="582" t="s">
        <v>141</v>
      </c>
      <c r="Z106" s="582"/>
      <c r="AA106" s="43"/>
      <c r="AB106" s="583"/>
      <c r="AC106" s="583"/>
      <c r="AD106" s="487"/>
      <c r="AE106" s="489" t="s">
        <v>200</v>
      </c>
      <c r="AF106" s="44"/>
      <c r="AG106" s="499"/>
    </row>
    <row r="107" spans="1:33">
      <c r="A107" s="598"/>
      <c r="B107" s="246">
        <f>B106+1</f>
        <v>92</v>
      </c>
      <c r="C107" s="592"/>
      <c r="D107" s="502"/>
      <c r="E107" s="502"/>
      <c r="F107" s="492"/>
      <c r="G107" s="492"/>
      <c r="H107" s="492"/>
      <c r="I107" s="492"/>
      <c r="J107" s="493"/>
      <c r="K107" s="493"/>
      <c r="L107" s="493"/>
      <c r="M107" s="493"/>
      <c r="N107" s="493"/>
      <c r="O107" s="493"/>
      <c r="P107" s="493"/>
      <c r="Q107" s="493"/>
      <c r="R107" s="581"/>
      <c r="S107" s="581"/>
      <c r="T107" s="581"/>
      <c r="U107" s="472"/>
      <c r="V107" s="491" t="s">
        <v>142</v>
      </c>
      <c r="W107" s="185"/>
      <c r="X107" s="343"/>
      <c r="Y107" s="488"/>
      <c r="Z107" s="488"/>
      <c r="AA107" s="499"/>
      <c r="AB107" s="492"/>
      <c r="AC107" s="468" t="s">
        <v>141</v>
      </c>
      <c r="AD107" s="492"/>
      <c r="AE107" s="579"/>
      <c r="AF107" s="46"/>
      <c r="AG107" s="499"/>
    </row>
    <row r="108" spans="1:33" ht="30.6">
      <c r="A108" s="598"/>
      <c r="B108" s="246">
        <f t="shared" ref="B108:B114" si="8">B107+1</f>
        <v>93</v>
      </c>
      <c r="C108" s="592"/>
      <c r="E108" s="171" t="b">
        <v>1</v>
      </c>
      <c r="F108" s="3" t="s">
        <v>201</v>
      </c>
      <c r="H108" s="171" t="b">
        <v>0</v>
      </c>
      <c r="I108" s="180" t="s">
        <v>202</v>
      </c>
      <c r="J108" s="172" t="b">
        <v>0</v>
      </c>
      <c r="K108" s="173" t="s">
        <v>203</v>
      </c>
      <c r="L108" s="174" t="b">
        <v>0</v>
      </c>
      <c r="M108" s="8" t="s">
        <v>204</v>
      </c>
      <c r="N108" s="182"/>
      <c r="O108" s="174" t="b">
        <v>0</v>
      </c>
      <c r="P108" s="8" t="s">
        <v>205</v>
      </c>
      <c r="Q108" s="8"/>
      <c r="R108" s="581"/>
      <c r="S108" s="581"/>
      <c r="T108" s="581"/>
      <c r="U108" s="581" t="s">
        <v>14</v>
      </c>
      <c r="V108" s="581"/>
      <c r="W108" s="185"/>
      <c r="X108" s="175" t="b">
        <v>0</v>
      </c>
      <c r="Y108" s="176" t="s">
        <v>206</v>
      </c>
      <c r="Z108" s="500"/>
      <c r="AA108" s="14"/>
      <c r="AB108" s="467" t="b">
        <v>0</v>
      </c>
      <c r="AC108" s="340" t="s">
        <v>207</v>
      </c>
      <c r="AD108" s="14"/>
      <c r="AE108" s="579"/>
      <c r="AF108" s="45"/>
      <c r="AG108" s="14"/>
    </row>
    <row r="109" spans="1:33" ht="35.1" customHeight="1">
      <c r="A109" s="598"/>
      <c r="B109" s="246">
        <f t="shared" si="8"/>
        <v>94</v>
      </c>
      <c r="C109" s="592"/>
      <c r="E109" s="171" t="b">
        <v>1</v>
      </c>
      <c r="F109" s="168" t="s">
        <v>208</v>
      </c>
      <c r="H109" s="14"/>
      <c r="I109" s="180"/>
      <c r="J109" s="175" t="b">
        <v>1</v>
      </c>
      <c r="K109" s="594" t="s">
        <v>209</v>
      </c>
      <c r="L109" s="175" t="b">
        <v>0</v>
      </c>
      <c r="M109" s="176" t="s">
        <v>210</v>
      </c>
      <c r="N109" s="338">
        <v>44197</v>
      </c>
      <c r="O109" s="175" t="b">
        <v>0</v>
      </c>
      <c r="P109" s="176" t="s">
        <v>204</v>
      </c>
      <c r="Q109" s="8"/>
      <c r="R109" s="174" t="b">
        <v>0</v>
      </c>
      <c r="S109" s="8" t="s">
        <v>211</v>
      </c>
      <c r="T109" s="8" t="s">
        <v>140</v>
      </c>
      <c r="U109" s="175" t="b">
        <v>1</v>
      </c>
      <c r="V109" s="491" t="s">
        <v>212</v>
      </c>
      <c r="W109" s="184"/>
      <c r="X109" s="175" t="b">
        <v>0</v>
      </c>
      <c r="Y109" s="176" t="s">
        <v>213</v>
      </c>
      <c r="Z109" s="500"/>
      <c r="AA109" s="14"/>
      <c r="AB109" s="186"/>
      <c r="AC109" s="492" t="s">
        <v>142</v>
      </c>
      <c r="AD109" s="179"/>
      <c r="AE109" s="493" t="s">
        <v>214</v>
      </c>
      <c r="AF109" s="46"/>
      <c r="AG109" s="14"/>
    </row>
    <row r="110" spans="1:33" ht="14.45" customHeight="1">
      <c r="A110" s="598"/>
      <c r="B110" s="246">
        <f t="shared" si="8"/>
        <v>95</v>
      </c>
      <c r="C110" s="592"/>
      <c r="E110" s="171" t="b">
        <v>0</v>
      </c>
      <c r="F110" s="595" t="s">
        <v>229</v>
      </c>
      <c r="H110" s="171" t="b">
        <v>1</v>
      </c>
      <c r="I110" s="180" t="s">
        <v>216</v>
      </c>
      <c r="J110" s="176"/>
      <c r="K110" s="594"/>
      <c r="L110" s="174" t="b">
        <v>0</v>
      </c>
      <c r="M110" s="39" t="s">
        <v>217</v>
      </c>
      <c r="N110" s="523">
        <v>6</v>
      </c>
      <c r="O110" s="174" t="b">
        <v>0</v>
      </c>
      <c r="P110" s="8" t="s">
        <v>217</v>
      </c>
      <c r="Q110" s="523">
        <v>0</v>
      </c>
      <c r="R110" s="581"/>
      <c r="S110" s="581"/>
      <c r="T110" s="581"/>
      <c r="U110" s="590" t="s">
        <v>141</v>
      </c>
      <c r="V110" s="590"/>
      <c r="W110" s="590"/>
      <c r="X110" s="175" t="b">
        <v>1</v>
      </c>
      <c r="Y110" s="8" t="s">
        <v>218</v>
      </c>
      <c r="Z110" s="581" t="s">
        <v>227</v>
      </c>
      <c r="AA110" s="14"/>
      <c r="AB110" s="186"/>
      <c r="AC110" s="20"/>
      <c r="AD110" s="14"/>
      <c r="AE110" s="580"/>
      <c r="AF110" s="45"/>
      <c r="AG110" s="14"/>
    </row>
    <row r="111" spans="1:33">
      <c r="A111" s="598"/>
      <c r="B111" s="246">
        <f t="shared" si="8"/>
        <v>96</v>
      </c>
      <c r="C111" s="592"/>
      <c r="F111" s="595"/>
      <c r="H111" s="14"/>
      <c r="I111" s="14"/>
      <c r="J111" s="176"/>
      <c r="K111" s="8"/>
      <c r="L111" s="14"/>
      <c r="M111" s="14"/>
      <c r="N111" s="187"/>
      <c r="O111" s="8"/>
      <c r="P111" s="8"/>
      <c r="Q111" s="8"/>
      <c r="R111" s="581"/>
      <c r="S111" s="581"/>
      <c r="T111" s="581"/>
      <c r="U111" s="175" t="b">
        <v>0</v>
      </c>
      <c r="V111" s="176" t="s">
        <v>219</v>
      </c>
      <c r="W111" s="185"/>
      <c r="Y111" s="14"/>
      <c r="Z111" s="581"/>
      <c r="AA111" s="14"/>
      <c r="AB111" s="14"/>
      <c r="AC111" s="14"/>
      <c r="AD111" s="14"/>
      <c r="AE111" s="580"/>
      <c r="AF111" s="45"/>
      <c r="AG111" s="14"/>
    </row>
    <row r="112" spans="1:33" ht="30" customHeight="1">
      <c r="A112" s="598"/>
      <c r="B112" s="246">
        <f t="shared" si="8"/>
        <v>97</v>
      </c>
      <c r="C112" s="592"/>
      <c r="E112"/>
      <c r="H112" s="14"/>
      <c r="I112" s="14"/>
      <c r="J112" s="326"/>
      <c r="K112" s="182"/>
      <c r="L112" s="182"/>
      <c r="M112" s="182"/>
      <c r="N112" s="182"/>
      <c r="O112" s="8"/>
      <c r="P112" s="8"/>
      <c r="Q112" s="8"/>
      <c r="R112" s="174" t="b">
        <v>0</v>
      </c>
      <c r="S112" s="8" t="s">
        <v>220</v>
      </c>
      <c r="T112" s="8" t="s">
        <v>140</v>
      </c>
      <c r="U112" s="581"/>
      <c r="V112" s="581"/>
      <c r="Y112" s="14"/>
      <c r="Z112" s="322"/>
      <c r="AA112" s="14"/>
      <c r="AB112" s="14"/>
      <c r="AC112" s="14"/>
      <c r="AD112" s="14"/>
      <c r="AE112" s="14"/>
      <c r="AF112" s="45"/>
      <c r="AG112" s="14"/>
    </row>
    <row r="113" spans="1:33">
      <c r="A113" s="598"/>
      <c r="B113" s="246">
        <f t="shared" si="8"/>
        <v>98</v>
      </c>
      <c r="C113" s="592"/>
      <c r="E113"/>
      <c r="H113" s="181"/>
      <c r="I113" s="14"/>
      <c r="J113" s="326"/>
      <c r="K113" s="182"/>
      <c r="L113" s="182"/>
      <c r="M113" s="182"/>
      <c r="N113" s="182"/>
      <c r="O113" s="8"/>
      <c r="P113" s="8"/>
      <c r="Q113" s="8"/>
      <c r="R113" s="581"/>
      <c r="S113" s="581"/>
      <c r="T113" s="581"/>
      <c r="U113" s="175" t="b">
        <v>0</v>
      </c>
      <c r="V113" s="8" t="s">
        <v>221</v>
      </c>
      <c r="W113" s="8"/>
      <c r="Y113" s="14"/>
      <c r="Z113" s="322"/>
      <c r="AA113" s="14"/>
      <c r="AB113" s="14"/>
      <c r="AC113" s="14"/>
      <c r="AD113" s="14"/>
      <c r="AE113" s="14"/>
      <c r="AF113" s="45"/>
      <c r="AG113" s="14"/>
    </row>
    <row r="114" spans="1:33" ht="30" customHeight="1" thickBot="1">
      <c r="A114" s="599"/>
      <c r="B114" s="246">
        <f t="shared" si="8"/>
        <v>99</v>
      </c>
      <c r="C114" s="593"/>
      <c r="D114" s="47"/>
      <c r="E114" s="47"/>
      <c r="F114" s="47"/>
      <c r="G114" s="47"/>
      <c r="H114" s="48"/>
      <c r="I114" s="48"/>
      <c r="J114" s="327"/>
      <c r="K114" s="49"/>
      <c r="L114" s="49"/>
      <c r="M114" s="49"/>
      <c r="N114" s="49"/>
      <c r="O114" s="50"/>
      <c r="P114" s="50"/>
      <c r="Q114" s="50"/>
      <c r="R114" s="581"/>
      <c r="S114" s="581"/>
      <c r="T114" s="581"/>
      <c r="U114" s="581"/>
      <c r="V114" s="581"/>
      <c r="W114" s="50"/>
      <c r="X114" s="342"/>
      <c r="Y114" s="48"/>
      <c r="Z114" s="323"/>
      <c r="AA114" s="48"/>
      <c r="AB114" s="48"/>
      <c r="AC114" s="48"/>
      <c r="AD114" s="48"/>
      <c r="AE114" s="48"/>
      <c r="AF114" s="51"/>
      <c r="AG114" s="14"/>
    </row>
    <row r="115" spans="1:33" ht="15" hidden="1" customHeight="1" thickBot="1">
      <c r="A115" s="79"/>
      <c r="B115" s="200"/>
      <c r="C115" s="333"/>
      <c r="D115" s="334"/>
      <c r="E115" s="334"/>
      <c r="F115" s="334"/>
      <c r="G115" s="334"/>
      <c r="H115" s="334"/>
      <c r="I115" s="334"/>
      <c r="J115" s="335"/>
      <c r="K115" s="334"/>
      <c r="L115" s="334"/>
      <c r="M115" s="334"/>
      <c r="N115" s="334"/>
      <c r="O115" s="334"/>
      <c r="P115" s="334"/>
      <c r="Q115" s="334"/>
      <c r="R115" s="334"/>
      <c r="S115" s="334"/>
      <c r="T115" s="334"/>
      <c r="U115" s="335"/>
      <c r="V115" s="334"/>
      <c r="W115" s="334"/>
      <c r="X115" s="335"/>
      <c r="Y115" s="334"/>
      <c r="Z115" s="336"/>
      <c r="AA115" s="334"/>
      <c r="AB115" s="334"/>
      <c r="AC115" s="334"/>
      <c r="AD115" s="334"/>
      <c r="AE115" s="334"/>
      <c r="AF115" s="337"/>
      <c r="AG115" s="14"/>
    </row>
    <row r="116" spans="1:33" ht="5.0999999999999996" customHeight="1" thickBot="1">
      <c r="A116" s="79"/>
      <c r="B116" s="200"/>
      <c r="C116" s="332"/>
      <c r="D116" s="197"/>
      <c r="E116" s="197"/>
      <c r="F116" s="197"/>
      <c r="G116" s="197"/>
      <c r="H116" s="197"/>
      <c r="I116" s="197"/>
      <c r="J116" s="330"/>
      <c r="K116" s="197"/>
      <c r="L116" s="197"/>
      <c r="M116" s="197"/>
      <c r="N116" s="197"/>
      <c r="O116" s="197"/>
      <c r="P116" s="197"/>
      <c r="Q116" s="197"/>
      <c r="R116" s="197"/>
      <c r="S116" s="197"/>
      <c r="T116" s="197"/>
      <c r="U116" s="330"/>
      <c r="V116" s="197"/>
      <c r="W116" s="197"/>
      <c r="X116" s="330"/>
      <c r="Y116" s="197"/>
      <c r="Z116" s="331"/>
      <c r="AA116" s="197"/>
      <c r="AB116" s="197"/>
      <c r="AC116" s="197"/>
      <c r="AD116" s="197"/>
      <c r="AE116" s="197"/>
      <c r="AF116" s="261"/>
      <c r="AG116" s="79"/>
    </row>
    <row r="117" spans="1:33" ht="15" hidden="1" customHeight="1" thickBot="1">
      <c r="A117" s="79"/>
      <c r="B117" s="200"/>
      <c r="C117" s="332"/>
      <c r="D117" s="197"/>
      <c r="E117" s="197"/>
      <c r="F117" s="197"/>
      <c r="G117" s="197"/>
      <c r="H117" s="197"/>
      <c r="I117" s="197"/>
      <c r="J117" s="330"/>
      <c r="K117" s="197"/>
      <c r="L117" s="197"/>
      <c r="M117" s="197"/>
      <c r="N117" s="197"/>
      <c r="O117" s="197"/>
      <c r="P117" s="197"/>
      <c r="Q117" s="197"/>
      <c r="R117" s="197"/>
      <c r="S117" s="197"/>
      <c r="T117" s="197"/>
      <c r="U117" s="330"/>
      <c r="V117" s="197"/>
      <c r="W117" s="197"/>
      <c r="X117" s="330"/>
      <c r="Y117" s="197"/>
      <c r="Z117" s="331"/>
      <c r="AA117" s="197"/>
      <c r="AB117" s="197"/>
      <c r="AC117" s="197"/>
      <c r="AD117" s="197"/>
      <c r="AE117" s="197"/>
      <c r="AF117" s="261"/>
      <c r="AG117"/>
    </row>
    <row r="118" spans="1:33" ht="29.1" customHeight="1">
      <c r="A118" s="597">
        <f>A106+1</f>
        <v>10</v>
      </c>
      <c r="B118" s="246">
        <f>B106+10</f>
        <v>101</v>
      </c>
      <c r="C118" s="591" t="str">
        <f>VLOOKUP(A118,INputs!$G$3:$O$22,7,FALSE)</f>
        <v>Sub Label-Internal exception</v>
      </c>
      <c r="D118" s="498"/>
      <c r="E118" s="498"/>
      <c r="F118" s="583" t="s">
        <v>141</v>
      </c>
      <c r="G118" s="583"/>
      <c r="H118" s="583" t="s">
        <v>141</v>
      </c>
      <c r="I118" s="583"/>
      <c r="J118" s="584" t="str">
        <f>J$10</f>
        <v>Select a check box</v>
      </c>
      <c r="K118" s="584"/>
      <c r="L118" s="584" t="s">
        <v>141</v>
      </c>
      <c r="M118" s="584"/>
      <c r="N118" s="584"/>
      <c r="O118" s="584" t="s">
        <v>141</v>
      </c>
      <c r="P118" s="584"/>
      <c r="Q118" s="584"/>
      <c r="R118" s="588" t="s">
        <v>198</v>
      </c>
      <c r="S118" s="588"/>
      <c r="T118" s="344" t="s">
        <v>140</v>
      </c>
      <c r="U118" s="589" t="s">
        <v>199</v>
      </c>
      <c r="V118" s="589"/>
      <c r="W118" s="42"/>
      <c r="X118" s="341"/>
      <c r="Y118" s="582" t="s">
        <v>141</v>
      </c>
      <c r="Z118" s="582"/>
      <c r="AA118" s="43"/>
      <c r="AB118" s="583"/>
      <c r="AC118" s="583"/>
      <c r="AD118" s="487"/>
      <c r="AE118" s="489" t="s">
        <v>200</v>
      </c>
      <c r="AF118" s="44"/>
      <c r="AG118" s="499"/>
    </row>
    <row r="119" spans="1:33">
      <c r="A119" s="598"/>
      <c r="B119" s="246">
        <f>B118+1</f>
        <v>102</v>
      </c>
      <c r="C119" s="592"/>
      <c r="D119" s="502"/>
      <c r="E119" s="502"/>
      <c r="F119" s="492"/>
      <c r="G119" s="492"/>
      <c r="H119" s="492"/>
      <c r="I119" s="492"/>
      <c r="J119" s="493"/>
      <c r="K119" s="493"/>
      <c r="L119" s="493"/>
      <c r="M119" s="493"/>
      <c r="N119" s="493"/>
      <c r="O119" s="493"/>
      <c r="P119" s="493"/>
      <c r="Q119" s="493"/>
      <c r="R119" s="581"/>
      <c r="S119" s="581"/>
      <c r="T119" s="581"/>
      <c r="U119" s="472"/>
      <c r="V119" s="491" t="s">
        <v>142</v>
      </c>
      <c r="W119" s="185"/>
      <c r="X119" s="343"/>
      <c r="Y119" s="488"/>
      <c r="Z119" s="488"/>
      <c r="AA119" s="499"/>
      <c r="AB119" s="492"/>
      <c r="AC119" s="468" t="s">
        <v>141</v>
      </c>
      <c r="AD119" s="492"/>
      <c r="AE119" s="579"/>
      <c r="AF119" s="46"/>
      <c r="AG119" s="499"/>
    </row>
    <row r="120" spans="1:33" ht="30.6">
      <c r="A120" s="598"/>
      <c r="B120" s="246">
        <f t="shared" ref="B120:B126" si="9">B119+1</f>
        <v>103</v>
      </c>
      <c r="C120" s="592"/>
      <c r="E120" s="171" t="b">
        <v>0</v>
      </c>
      <c r="F120" s="3" t="s">
        <v>201</v>
      </c>
      <c r="H120" s="171" t="b">
        <v>0</v>
      </c>
      <c r="I120" s="180" t="s">
        <v>202</v>
      </c>
      <c r="J120" s="172" t="b">
        <v>0</v>
      </c>
      <c r="K120" s="173" t="s">
        <v>203</v>
      </c>
      <c r="L120" s="174" t="b">
        <v>0</v>
      </c>
      <c r="M120" s="8" t="s">
        <v>204</v>
      </c>
      <c r="N120" s="182"/>
      <c r="O120" s="174" t="b">
        <v>0</v>
      </c>
      <c r="P120" s="8" t="s">
        <v>205</v>
      </c>
      <c r="Q120" s="8"/>
      <c r="R120" s="581"/>
      <c r="S120" s="581"/>
      <c r="T120" s="581"/>
      <c r="U120" s="581"/>
      <c r="V120" s="581"/>
      <c r="W120" s="185"/>
      <c r="X120" s="175" t="b">
        <v>0</v>
      </c>
      <c r="Y120" s="176" t="s">
        <v>206</v>
      </c>
      <c r="Z120" s="500"/>
      <c r="AA120" s="14"/>
      <c r="AB120" s="177" t="b">
        <v>0</v>
      </c>
      <c r="AC120" s="14" t="s">
        <v>207</v>
      </c>
      <c r="AD120" s="14"/>
      <c r="AE120" s="579"/>
      <c r="AF120" s="45"/>
      <c r="AG120" s="14"/>
    </row>
    <row r="121" spans="1:33" ht="35.1" customHeight="1">
      <c r="A121" s="598"/>
      <c r="B121" s="246">
        <f t="shared" si="9"/>
        <v>104</v>
      </c>
      <c r="C121" s="592"/>
      <c r="E121" s="171" t="b">
        <v>1</v>
      </c>
      <c r="F121" s="168" t="s">
        <v>208</v>
      </c>
      <c r="H121" s="14"/>
      <c r="I121" s="180"/>
      <c r="J121" s="175" t="b">
        <v>0</v>
      </c>
      <c r="K121" s="594" t="s">
        <v>209</v>
      </c>
      <c r="L121" s="175" t="b">
        <v>0</v>
      </c>
      <c r="M121" s="176" t="s">
        <v>210</v>
      </c>
      <c r="N121" s="338">
        <v>44197</v>
      </c>
      <c r="O121" s="175" t="b">
        <v>0</v>
      </c>
      <c r="P121" s="176" t="s">
        <v>204</v>
      </c>
      <c r="Q121" s="8"/>
      <c r="R121" s="174" t="b">
        <v>0</v>
      </c>
      <c r="S121" s="8" t="s">
        <v>211</v>
      </c>
      <c r="T121" s="8" t="s">
        <v>140</v>
      </c>
      <c r="U121" s="175" t="b">
        <v>0</v>
      </c>
      <c r="V121" s="491" t="s">
        <v>212</v>
      </c>
      <c r="W121" s="184"/>
      <c r="X121" s="175" t="b">
        <v>0</v>
      </c>
      <c r="Y121" s="176" t="s">
        <v>213</v>
      </c>
      <c r="Z121" s="500"/>
      <c r="AA121" s="14"/>
      <c r="AB121" s="186"/>
      <c r="AC121" s="492" t="s">
        <v>142</v>
      </c>
      <c r="AD121" s="179"/>
      <c r="AE121" s="493" t="s">
        <v>214</v>
      </c>
      <c r="AF121" s="46"/>
      <c r="AG121" s="14"/>
    </row>
    <row r="122" spans="1:33" ht="14.45" customHeight="1">
      <c r="A122" s="598"/>
      <c r="B122" s="246">
        <f t="shared" si="9"/>
        <v>105</v>
      </c>
      <c r="C122" s="592"/>
      <c r="E122" s="171" t="b">
        <v>0</v>
      </c>
      <c r="F122" s="595" t="s">
        <v>229</v>
      </c>
      <c r="H122" s="171" t="b">
        <v>0</v>
      </c>
      <c r="I122" s="180" t="s">
        <v>216</v>
      </c>
      <c r="J122" s="176"/>
      <c r="K122" s="594"/>
      <c r="L122" s="174" t="b">
        <v>0</v>
      </c>
      <c r="M122" s="39" t="s">
        <v>217</v>
      </c>
      <c r="N122" s="523">
        <v>6</v>
      </c>
      <c r="O122" s="174" t="b">
        <v>0</v>
      </c>
      <c r="P122" s="8" t="s">
        <v>217</v>
      </c>
      <c r="Q122" s="523">
        <v>0</v>
      </c>
      <c r="R122" s="581"/>
      <c r="S122" s="581"/>
      <c r="T122" s="581"/>
      <c r="U122" s="590" t="s">
        <v>141</v>
      </c>
      <c r="V122" s="590"/>
      <c r="W122" s="590"/>
      <c r="X122" s="175" t="b">
        <v>1</v>
      </c>
      <c r="Y122" s="8" t="s">
        <v>218</v>
      </c>
      <c r="Z122" s="581" t="s">
        <v>227</v>
      </c>
      <c r="AA122" s="14"/>
      <c r="AB122" s="186"/>
      <c r="AC122" s="20"/>
      <c r="AD122" s="14"/>
      <c r="AE122" s="580"/>
      <c r="AF122" s="45"/>
      <c r="AG122" s="14"/>
    </row>
    <row r="123" spans="1:33">
      <c r="A123" s="598"/>
      <c r="B123" s="246">
        <f t="shared" si="9"/>
        <v>106</v>
      </c>
      <c r="C123" s="592"/>
      <c r="F123" s="595"/>
      <c r="H123" s="14"/>
      <c r="I123" s="14"/>
      <c r="J123" s="176"/>
      <c r="K123" s="8"/>
      <c r="L123" s="14"/>
      <c r="M123" s="14"/>
      <c r="N123" s="187"/>
      <c r="O123" s="8"/>
      <c r="P123" s="8"/>
      <c r="Q123" s="8"/>
      <c r="R123" s="581"/>
      <c r="S123" s="581"/>
      <c r="T123" s="581"/>
      <c r="U123" s="175" t="b">
        <v>0</v>
      </c>
      <c r="V123" s="176" t="s">
        <v>219</v>
      </c>
      <c r="W123" s="185"/>
      <c r="Y123" s="14"/>
      <c r="Z123" s="581"/>
      <c r="AA123" s="14"/>
      <c r="AB123" s="14"/>
      <c r="AC123" s="14"/>
      <c r="AD123" s="14"/>
      <c r="AE123" s="580"/>
      <c r="AF123" s="45"/>
      <c r="AG123" s="14"/>
    </row>
    <row r="124" spans="1:33" ht="30" customHeight="1">
      <c r="A124" s="598"/>
      <c r="B124" s="246">
        <f t="shared" si="9"/>
        <v>107</v>
      </c>
      <c r="C124" s="592"/>
      <c r="E124"/>
      <c r="H124" s="14"/>
      <c r="I124" s="14"/>
      <c r="J124" s="326"/>
      <c r="K124" s="182"/>
      <c r="L124" s="182"/>
      <c r="M124" s="182"/>
      <c r="N124" s="182"/>
      <c r="O124" s="8"/>
      <c r="P124" s="8"/>
      <c r="Q124" s="8"/>
      <c r="R124" s="174" t="b">
        <v>0</v>
      </c>
      <c r="S124" s="8" t="s">
        <v>220</v>
      </c>
      <c r="T124" s="8" t="s">
        <v>140</v>
      </c>
      <c r="U124" s="581"/>
      <c r="V124" s="581"/>
      <c r="Y124" s="14"/>
      <c r="Z124" s="322"/>
      <c r="AA124" s="14"/>
      <c r="AB124" s="14"/>
      <c r="AC124" s="14"/>
      <c r="AD124" s="14"/>
      <c r="AE124" s="14"/>
      <c r="AF124" s="45"/>
      <c r="AG124" s="14"/>
    </row>
    <row r="125" spans="1:33">
      <c r="A125" s="598"/>
      <c r="B125" s="246">
        <f t="shared" si="9"/>
        <v>108</v>
      </c>
      <c r="C125" s="592"/>
      <c r="E125"/>
      <c r="H125" s="181"/>
      <c r="I125" s="14"/>
      <c r="J125" s="326"/>
      <c r="K125" s="182"/>
      <c r="L125" s="182"/>
      <c r="M125" s="182"/>
      <c r="N125" s="182"/>
      <c r="O125" s="8"/>
      <c r="P125" s="8"/>
      <c r="Q125" s="8"/>
      <c r="R125" s="581"/>
      <c r="S125" s="581"/>
      <c r="T125" s="581"/>
      <c r="U125" s="175" t="b">
        <v>0</v>
      </c>
      <c r="V125" s="8" t="s">
        <v>221</v>
      </c>
      <c r="W125" s="8"/>
      <c r="Y125" s="14"/>
      <c r="Z125" s="322"/>
      <c r="AA125" s="14"/>
      <c r="AB125" s="14"/>
      <c r="AC125" s="14"/>
      <c r="AD125" s="14"/>
      <c r="AE125" s="14"/>
      <c r="AF125" s="45"/>
      <c r="AG125" s="14"/>
    </row>
    <row r="126" spans="1:33" ht="30" customHeight="1" thickBot="1">
      <c r="A126" s="599"/>
      <c r="B126" s="246">
        <f t="shared" si="9"/>
        <v>109</v>
      </c>
      <c r="C126" s="593"/>
      <c r="D126" s="47"/>
      <c r="E126" s="47"/>
      <c r="F126" s="47"/>
      <c r="G126" s="47"/>
      <c r="H126" s="48"/>
      <c r="I126" s="48"/>
      <c r="J126" s="327"/>
      <c r="K126" s="49"/>
      <c r="L126" s="49"/>
      <c r="M126" s="49"/>
      <c r="N126" s="49"/>
      <c r="O126" s="50"/>
      <c r="P126" s="50"/>
      <c r="Q126" s="50"/>
      <c r="R126" s="581"/>
      <c r="S126" s="581"/>
      <c r="T126" s="581"/>
      <c r="U126" s="581"/>
      <c r="V126" s="581"/>
      <c r="W126" s="50"/>
      <c r="X126" s="342"/>
      <c r="Y126" s="48"/>
      <c r="Z126" s="323"/>
      <c r="AA126" s="48"/>
      <c r="AB126" s="48"/>
      <c r="AC126" s="48"/>
      <c r="AD126" s="48"/>
      <c r="AE126" s="48"/>
      <c r="AF126" s="51"/>
      <c r="AG126" s="14"/>
    </row>
    <row r="127" spans="1:33" ht="15" hidden="1" customHeight="1" thickBot="1">
      <c r="A127" s="79"/>
      <c r="B127" s="200"/>
      <c r="C127" s="333"/>
      <c r="D127" s="334"/>
      <c r="E127" s="334"/>
      <c r="F127" s="334"/>
      <c r="G127" s="334"/>
      <c r="H127" s="334"/>
      <c r="I127" s="334"/>
      <c r="J127" s="335"/>
      <c r="K127" s="334"/>
      <c r="L127" s="334"/>
      <c r="M127" s="334"/>
      <c r="N127" s="334"/>
      <c r="O127" s="334"/>
      <c r="P127" s="334"/>
      <c r="Q127" s="334"/>
      <c r="R127" s="334"/>
      <c r="S127" s="334"/>
      <c r="T127" s="334"/>
      <c r="U127" s="335"/>
      <c r="V127" s="334"/>
      <c r="W127" s="334"/>
      <c r="X127" s="335"/>
      <c r="Y127" s="334"/>
      <c r="Z127" s="336"/>
      <c r="AA127" s="334"/>
      <c r="AB127" s="334"/>
      <c r="AC127" s="334"/>
      <c r="AD127" s="334"/>
      <c r="AE127" s="334"/>
      <c r="AF127" s="337"/>
      <c r="AG127" s="14"/>
    </row>
    <row r="128" spans="1:33" ht="5.0999999999999996" customHeight="1" thickBot="1">
      <c r="A128" s="79"/>
      <c r="B128" s="200"/>
      <c r="C128" s="332"/>
      <c r="D128" s="197"/>
      <c r="E128" s="197"/>
      <c r="F128" s="197"/>
      <c r="G128" s="197"/>
      <c r="H128" s="197"/>
      <c r="I128" s="197"/>
      <c r="J128" s="330"/>
      <c r="K128" s="197"/>
      <c r="L128" s="197"/>
      <c r="M128" s="197"/>
      <c r="N128" s="197"/>
      <c r="O128" s="197"/>
      <c r="P128" s="197"/>
      <c r="Q128" s="197"/>
      <c r="R128" s="197"/>
      <c r="S128" s="197"/>
      <c r="T128" s="197"/>
      <c r="U128" s="330"/>
      <c r="V128" s="197"/>
      <c r="W128" s="197"/>
      <c r="X128" s="330"/>
      <c r="Y128" s="197"/>
      <c r="Z128" s="331"/>
      <c r="AA128" s="197"/>
      <c r="AB128" s="197"/>
      <c r="AC128" s="197"/>
      <c r="AD128" s="197"/>
      <c r="AE128" s="197"/>
      <c r="AF128" s="261"/>
      <c r="AG128" s="79"/>
    </row>
    <row r="129" spans="1:33" ht="15" hidden="1" customHeight="1" thickBot="1">
      <c r="A129" s="79"/>
      <c r="B129" s="200"/>
      <c r="C129" s="332"/>
      <c r="D129" s="197"/>
      <c r="E129" s="197"/>
      <c r="F129" s="197"/>
      <c r="G129" s="197"/>
      <c r="H129" s="197"/>
      <c r="I129" s="197"/>
      <c r="J129" s="330"/>
      <c r="K129" s="197"/>
      <c r="L129" s="197"/>
      <c r="M129" s="197"/>
      <c r="N129" s="197"/>
      <c r="O129" s="197"/>
      <c r="P129" s="197"/>
      <c r="Q129" s="197"/>
      <c r="R129" s="197"/>
      <c r="S129" s="197"/>
      <c r="T129" s="197"/>
      <c r="U129" s="330"/>
      <c r="V129" s="197"/>
      <c r="W129" s="197"/>
      <c r="X129" s="330"/>
      <c r="Y129" s="197"/>
      <c r="Z129" s="331"/>
      <c r="AA129" s="197"/>
      <c r="AB129" s="197"/>
      <c r="AC129" s="197"/>
      <c r="AD129" s="197"/>
      <c r="AE129" s="197"/>
      <c r="AF129" s="261"/>
      <c r="AG129"/>
    </row>
    <row r="130" spans="1:33" ht="29.1" customHeight="1">
      <c r="A130" s="597">
        <f>A118+1</f>
        <v>11</v>
      </c>
      <c r="B130" s="246">
        <f>B118+10</f>
        <v>111</v>
      </c>
      <c r="C130" s="591" t="str">
        <f>VLOOKUP(A130,INputs!$G$3:$O$22,7,FALSE)</f>
        <v>Please fill out Sensitivity Labels Tab</v>
      </c>
      <c r="D130" s="498"/>
      <c r="E130" s="498"/>
      <c r="F130" s="583" t="s">
        <v>141</v>
      </c>
      <c r="G130" s="583"/>
      <c r="H130" s="583" t="s">
        <v>141</v>
      </c>
      <c r="I130" s="583"/>
      <c r="J130" s="584" t="str">
        <f>J$10</f>
        <v>Select a check box</v>
      </c>
      <c r="K130" s="584"/>
      <c r="L130" s="584" t="s">
        <v>141</v>
      </c>
      <c r="M130" s="584"/>
      <c r="N130" s="584"/>
      <c r="O130" s="584" t="s">
        <v>141</v>
      </c>
      <c r="P130" s="584"/>
      <c r="Q130" s="584"/>
      <c r="R130" s="588" t="s">
        <v>198</v>
      </c>
      <c r="S130" s="588"/>
      <c r="T130" s="344" t="s">
        <v>140</v>
      </c>
      <c r="U130" s="589" t="s">
        <v>199</v>
      </c>
      <c r="V130" s="589"/>
      <c r="W130" s="42"/>
      <c r="X130" s="341"/>
      <c r="Y130" s="582" t="s">
        <v>141</v>
      </c>
      <c r="Z130" s="582"/>
      <c r="AA130" s="43"/>
      <c r="AB130" s="583"/>
      <c r="AC130" s="583"/>
      <c r="AD130" s="487"/>
      <c r="AE130" s="489" t="s">
        <v>200</v>
      </c>
      <c r="AF130" s="44"/>
      <c r="AG130" s="499"/>
    </row>
    <row r="131" spans="1:33">
      <c r="A131" s="598"/>
      <c r="B131" s="246">
        <f>B130+1</f>
        <v>112</v>
      </c>
      <c r="C131" s="592"/>
      <c r="D131" s="502"/>
      <c r="E131" s="502"/>
      <c r="F131" s="492"/>
      <c r="G131" s="492"/>
      <c r="H131" s="492"/>
      <c r="I131" s="492"/>
      <c r="J131" s="493"/>
      <c r="K131" s="493"/>
      <c r="L131" s="493"/>
      <c r="M131" s="493"/>
      <c r="N131" s="493"/>
      <c r="O131" s="493"/>
      <c r="P131" s="493"/>
      <c r="Q131" s="493"/>
      <c r="R131" s="581"/>
      <c r="S131" s="581"/>
      <c r="T131" s="581"/>
      <c r="U131" s="472"/>
      <c r="V131" s="491" t="s">
        <v>142</v>
      </c>
      <c r="W131" s="185"/>
      <c r="X131" s="343"/>
      <c r="Y131" s="488"/>
      <c r="Z131" s="488"/>
      <c r="AA131" s="499"/>
      <c r="AB131" s="492"/>
      <c r="AC131" s="468" t="s">
        <v>141</v>
      </c>
      <c r="AD131" s="492"/>
      <c r="AE131" s="579"/>
      <c r="AF131" s="46"/>
      <c r="AG131" s="499"/>
    </row>
    <row r="132" spans="1:33" ht="30.6">
      <c r="A132" s="598"/>
      <c r="B132" s="246">
        <f t="shared" ref="B132:B138" si="10">B131+1</f>
        <v>113</v>
      </c>
      <c r="C132" s="592"/>
      <c r="E132" s="171" t="b">
        <v>0</v>
      </c>
      <c r="F132" s="3" t="s">
        <v>201</v>
      </c>
      <c r="H132" s="171" t="b">
        <v>0</v>
      </c>
      <c r="I132" s="180" t="s">
        <v>202</v>
      </c>
      <c r="J132" s="172" t="b">
        <v>0</v>
      </c>
      <c r="K132" s="173" t="s">
        <v>203</v>
      </c>
      <c r="L132" s="174" t="b">
        <v>0</v>
      </c>
      <c r="M132" s="8" t="s">
        <v>204</v>
      </c>
      <c r="N132" s="182"/>
      <c r="O132" s="174" t="b">
        <v>0</v>
      </c>
      <c r="P132" s="8" t="s">
        <v>205</v>
      </c>
      <c r="Q132" s="8"/>
      <c r="R132" s="581"/>
      <c r="S132" s="581"/>
      <c r="T132" s="581"/>
      <c r="U132" s="581"/>
      <c r="V132" s="581"/>
      <c r="W132" s="185"/>
      <c r="X132" s="175" t="b">
        <v>0</v>
      </c>
      <c r="Y132" s="176" t="s">
        <v>206</v>
      </c>
      <c r="Z132" s="500"/>
      <c r="AA132" s="14"/>
      <c r="AB132" s="467" t="b">
        <v>0</v>
      </c>
      <c r="AC132" s="340" t="s">
        <v>207</v>
      </c>
      <c r="AD132" s="14"/>
      <c r="AE132" s="579"/>
      <c r="AF132" s="45"/>
      <c r="AG132" s="14"/>
    </row>
    <row r="133" spans="1:33" ht="35.1" customHeight="1">
      <c r="A133" s="598"/>
      <c r="B133" s="246">
        <f t="shared" si="10"/>
        <v>114</v>
      </c>
      <c r="C133" s="592"/>
      <c r="E133" s="171" t="b">
        <v>0</v>
      </c>
      <c r="F133" s="168" t="s">
        <v>208</v>
      </c>
      <c r="H133" s="14"/>
      <c r="I133" s="180"/>
      <c r="J133" s="175" t="b">
        <v>0</v>
      </c>
      <c r="K133" s="594" t="s">
        <v>209</v>
      </c>
      <c r="L133" s="175" t="b">
        <v>0</v>
      </c>
      <c r="M133" s="176" t="s">
        <v>210</v>
      </c>
      <c r="N133" s="338">
        <v>44197</v>
      </c>
      <c r="O133" s="175" t="b">
        <v>0</v>
      </c>
      <c r="P133" s="176" t="s">
        <v>204</v>
      </c>
      <c r="Q133" s="8"/>
      <c r="R133" s="174" t="b">
        <v>0</v>
      </c>
      <c r="S133" s="8" t="s">
        <v>211</v>
      </c>
      <c r="T133" s="8" t="s">
        <v>140</v>
      </c>
      <c r="U133" s="175" t="b">
        <v>0</v>
      </c>
      <c r="V133" s="491" t="s">
        <v>212</v>
      </c>
      <c r="W133" s="184"/>
      <c r="X133" s="175" t="b">
        <v>0</v>
      </c>
      <c r="Y133" s="176" t="s">
        <v>213</v>
      </c>
      <c r="Z133" s="500"/>
      <c r="AA133" s="14"/>
      <c r="AB133" s="186"/>
      <c r="AC133" s="492" t="s">
        <v>142</v>
      </c>
      <c r="AD133" s="179"/>
      <c r="AE133" s="493" t="s">
        <v>214</v>
      </c>
      <c r="AF133" s="46"/>
      <c r="AG133" s="14"/>
    </row>
    <row r="134" spans="1:33" ht="14.45" customHeight="1">
      <c r="A134" s="598"/>
      <c r="B134" s="246">
        <f t="shared" si="10"/>
        <v>115</v>
      </c>
      <c r="C134" s="592"/>
      <c r="E134" s="171" t="b">
        <v>0</v>
      </c>
      <c r="F134" s="595" t="s">
        <v>229</v>
      </c>
      <c r="H134" s="171" t="b">
        <v>0</v>
      </c>
      <c r="I134" s="180" t="s">
        <v>216</v>
      </c>
      <c r="J134" s="176"/>
      <c r="K134" s="594"/>
      <c r="L134" s="174" t="b">
        <v>0</v>
      </c>
      <c r="M134" s="39" t="s">
        <v>217</v>
      </c>
      <c r="N134" s="523">
        <v>6</v>
      </c>
      <c r="O134" s="174" t="b">
        <v>0</v>
      </c>
      <c r="P134" s="8" t="s">
        <v>217</v>
      </c>
      <c r="Q134" s="523">
        <v>0</v>
      </c>
      <c r="R134" s="581"/>
      <c r="S134" s="581"/>
      <c r="T134" s="581"/>
      <c r="U134" s="590" t="s">
        <v>141</v>
      </c>
      <c r="V134" s="590"/>
      <c r="W134" s="590"/>
      <c r="X134" s="175" t="b">
        <v>0</v>
      </c>
      <c r="Y134" s="8" t="s">
        <v>218</v>
      </c>
      <c r="Z134" s="581"/>
      <c r="AA134" s="14"/>
      <c r="AB134" s="186"/>
      <c r="AC134" s="20"/>
      <c r="AD134" s="14"/>
      <c r="AE134" s="580"/>
      <c r="AF134" s="45"/>
      <c r="AG134" s="14"/>
    </row>
    <row r="135" spans="1:33">
      <c r="A135" s="598"/>
      <c r="B135" s="246">
        <f t="shared" si="10"/>
        <v>116</v>
      </c>
      <c r="C135" s="592"/>
      <c r="F135" s="595"/>
      <c r="H135" s="14"/>
      <c r="I135" s="14"/>
      <c r="J135" s="176"/>
      <c r="K135" s="8"/>
      <c r="L135" s="14"/>
      <c r="M135" s="14"/>
      <c r="N135" s="187"/>
      <c r="O135" s="8"/>
      <c r="P135" s="8"/>
      <c r="Q135" s="8"/>
      <c r="R135" s="581"/>
      <c r="S135" s="581"/>
      <c r="T135" s="581"/>
      <c r="U135" s="175" t="b">
        <v>0</v>
      </c>
      <c r="V135" s="176" t="s">
        <v>219</v>
      </c>
      <c r="W135" s="185"/>
      <c r="Y135" s="14"/>
      <c r="Z135" s="581"/>
      <c r="AA135" s="14"/>
      <c r="AB135" s="14"/>
      <c r="AC135" s="14"/>
      <c r="AD135" s="14"/>
      <c r="AE135" s="580"/>
      <c r="AF135" s="45"/>
      <c r="AG135" s="14"/>
    </row>
    <row r="136" spans="1:33" ht="30" customHeight="1">
      <c r="A136" s="598"/>
      <c r="B136" s="246">
        <f t="shared" si="10"/>
        <v>117</v>
      </c>
      <c r="C136" s="592"/>
      <c r="E136"/>
      <c r="H136" s="14"/>
      <c r="I136" s="14"/>
      <c r="J136" s="326"/>
      <c r="K136" s="182"/>
      <c r="L136" s="182"/>
      <c r="M136" s="182"/>
      <c r="N136" s="182"/>
      <c r="O136" s="8"/>
      <c r="P136" s="8"/>
      <c r="Q136" s="8"/>
      <c r="R136" s="174" t="b">
        <v>0</v>
      </c>
      <c r="S136" s="8" t="s">
        <v>220</v>
      </c>
      <c r="T136" s="8" t="s">
        <v>140</v>
      </c>
      <c r="U136" s="581"/>
      <c r="V136" s="581"/>
      <c r="Y136" s="14"/>
      <c r="Z136" s="322"/>
      <c r="AA136" s="14"/>
      <c r="AB136" s="14"/>
      <c r="AC136" s="14"/>
      <c r="AD136" s="14"/>
      <c r="AE136" s="14"/>
      <c r="AF136" s="45"/>
      <c r="AG136" s="14"/>
    </row>
    <row r="137" spans="1:33">
      <c r="A137" s="598"/>
      <c r="B137" s="246">
        <f t="shared" si="10"/>
        <v>118</v>
      </c>
      <c r="C137" s="592"/>
      <c r="E137"/>
      <c r="H137" s="181"/>
      <c r="I137" s="14"/>
      <c r="J137" s="326"/>
      <c r="K137" s="182"/>
      <c r="L137" s="182"/>
      <c r="M137" s="182"/>
      <c r="N137" s="182"/>
      <c r="O137" s="8"/>
      <c r="P137" s="8"/>
      <c r="Q137" s="8"/>
      <c r="R137" s="581"/>
      <c r="S137" s="581"/>
      <c r="T137" s="581"/>
      <c r="U137" s="175" t="b">
        <v>0</v>
      </c>
      <c r="V137" s="8" t="s">
        <v>221</v>
      </c>
      <c r="W137" s="8"/>
      <c r="Y137" s="14"/>
      <c r="Z137" s="322"/>
      <c r="AA137" s="14"/>
      <c r="AB137" s="14"/>
      <c r="AC137" s="14"/>
      <c r="AD137" s="14"/>
      <c r="AE137" s="14"/>
      <c r="AF137" s="45"/>
      <c r="AG137" s="14"/>
    </row>
    <row r="138" spans="1:33" ht="30" customHeight="1" thickBot="1">
      <c r="A138" s="599"/>
      <c r="B138" s="246">
        <f t="shared" si="10"/>
        <v>119</v>
      </c>
      <c r="C138" s="593"/>
      <c r="D138" s="47"/>
      <c r="E138" s="47"/>
      <c r="F138" s="47"/>
      <c r="G138" s="47"/>
      <c r="H138" s="48"/>
      <c r="I138" s="48"/>
      <c r="J138" s="327"/>
      <c r="K138" s="49"/>
      <c r="L138" s="49"/>
      <c r="M138" s="49"/>
      <c r="N138" s="49"/>
      <c r="O138" s="50"/>
      <c r="P138" s="50"/>
      <c r="Q138" s="50"/>
      <c r="R138" s="581"/>
      <c r="S138" s="581"/>
      <c r="T138" s="581"/>
      <c r="U138" s="581"/>
      <c r="V138" s="581"/>
      <c r="W138" s="50"/>
      <c r="X138" s="342"/>
      <c r="Y138" s="48"/>
      <c r="Z138" s="323"/>
      <c r="AA138" s="48"/>
      <c r="AB138" s="48"/>
      <c r="AC138" s="48"/>
      <c r="AD138" s="48"/>
      <c r="AE138" s="48"/>
      <c r="AF138" s="51"/>
      <c r="AG138" s="14"/>
    </row>
    <row r="139" spans="1:33" ht="15" hidden="1" customHeight="1" thickBot="1">
      <c r="A139" s="79"/>
      <c r="B139" s="200"/>
      <c r="C139" s="332"/>
      <c r="D139" s="197"/>
      <c r="E139" s="197"/>
      <c r="F139" s="197"/>
      <c r="G139" s="197"/>
      <c r="H139" s="197"/>
      <c r="I139" s="197"/>
      <c r="J139" s="330"/>
      <c r="K139" s="197"/>
      <c r="L139" s="197"/>
      <c r="M139" s="197"/>
      <c r="N139" s="197"/>
      <c r="O139" s="197"/>
      <c r="P139" s="197"/>
      <c r="Q139" s="197"/>
      <c r="R139" s="197"/>
      <c r="S139" s="197"/>
      <c r="T139" s="197"/>
      <c r="U139" s="330"/>
      <c r="V139" s="197"/>
      <c r="W139" s="197"/>
      <c r="X139" s="330"/>
      <c r="Y139" s="197"/>
      <c r="Z139" s="331"/>
      <c r="AA139" s="197"/>
      <c r="AB139" s="197"/>
      <c r="AC139" s="197"/>
      <c r="AD139" s="197"/>
      <c r="AE139" s="261"/>
      <c r="AF139" s="337"/>
      <c r="AG139" s="14"/>
    </row>
    <row r="140" spans="1:33" ht="5.0999999999999996" customHeight="1" thickBot="1">
      <c r="A140" s="79"/>
      <c r="B140" s="200"/>
      <c r="C140" s="332"/>
      <c r="D140" s="197"/>
      <c r="E140" s="197"/>
      <c r="F140" s="197"/>
      <c r="G140" s="197"/>
      <c r="H140" s="197"/>
      <c r="I140" s="197"/>
      <c r="J140" s="330"/>
      <c r="K140" s="197"/>
      <c r="L140" s="197"/>
      <c r="M140" s="197"/>
      <c r="N140" s="197"/>
      <c r="O140" s="197"/>
      <c r="P140" s="197"/>
      <c r="Q140" s="197"/>
      <c r="R140" s="197"/>
      <c r="S140" s="197"/>
      <c r="T140" s="197"/>
      <c r="U140" s="330"/>
      <c r="V140" s="197"/>
      <c r="W140" s="197"/>
      <c r="X140" s="330"/>
      <c r="Y140" s="197"/>
      <c r="Z140" s="331"/>
      <c r="AA140" s="197"/>
      <c r="AB140" s="197"/>
      <c r="AC140" s="197"/>
      <c r="AD140" s="197"/>
      <c r="AE140" s="197"/>
      <c r="AF140" s="261"/>
      <c r="AG140" s="79"/>
    </row>
    <row r="141" spans="1:33" ht="15" hidden="1" customHeight="1" thickBot="1">
      <c r="A141" s="79"/>
      <c r="B141" s="200"/>
      <c r="C141" s="332"/>
      <c r="D141" s="197"/>
      <c r="E141" s="197"/>
      <c r="F141" s="197"/>
      <c r="G141" s="197"/>
      <c r="H141" s="197"/>
      <c r="I141" s="197"/>
      <c r="J141" s="330"/>
      <c r="K141" s="197"/>
      <c r="L141" s="197"/>
      <c r="M141" s="197"/>
      <c r="N141" s="197"/>
      <c r="O141" s="197"/>
      <c r="P141" s="197"/>
      <c r="Q141" s="197"/>
      <c r="R141" s="197"/>
      <c r="S141" s="197"/>
      <c r="T141" s="197"/>
      <c r="U141" s="330"/>
      <c r="V141" s="197"/>
      <c r="W141" s="197"/>
      <c r="X141" s="330"/>
      <c r="Y141" s="197"/>
      <c r="Z141" s="331"/>
      <c r="AA141" s="197"/>
      <c r="AB141" s="197"/>
      <c r="AC141" s="197"/>
      <c r="AD141" s="197"/>
      <c r="AE141" s="197"/>
      <c r="AF141" s="261"/>
      <c r="AG141"/>
    </row>
    <row r="142" spans="1:33" ht="29.1" customHeight="1">
      <c r="A142" s="597">
        <f>A130+1</f>
        <v>12</v>
      </c>
      <c r="B142" s="246">
        <f>B130+10</f>
        <v>121</v>
      </c>
      <c r="C142" s="591" t="str">
        <f>VLOOKUP(A142,INputs!$G$3:$O$22,7,FALSE)</f>
        <v>Please fill out Sensitivity Labels Tab</v>
      </c>
      <c r="D142" s="502"/>
      <c r="E142" s="502"/>
      <c r="F142" s="587" t="s">
        <v>141</v>
      </c>
      <c r="G142" s="587"/>
      <c r="H142" s="587" t="s">
        <v>141</v>
      </c>
      <c r="I142" s="587"/>
      <c r="J142" s="579" t="str">
        <f>J$10</f>
        <v>Select a check box</v>
      </c>
      <c r="K142" s="579"/>
      <c r="L142" s="579" t="s">
        <v>141</v>
      </c>
      <c r="M142" s="579"/>
      <c r="N142" s="579"/>
      <c r="O142" s="579" t="s">
        <v>141</v>
      </c>
      <c r="P142" s="579"/>
      <c r="Q142" s="579"/>
      <c r="R142" s="588" t="s">
        <v>198</v>
      </c>
      <c r="S142" s="588"/>
      <c r="T142" s="344" t="s">
        <v>140</v>
      </c>
      <c r="U142" s="589" t="s">
        <v>199</v>
      </c>
      <c r="V142" s="589"/>
      <c r="W142" s="42"/>
      <c r="X142" s="343"/>
      <c r="Y142" s="586" t="s">
        <v>141</v>
      </c>
      <c r="Z142" s="586"/>
      <c r="AA142" s="499"/>
      <c r="AB142" s="583"/>
      <c r="AC142" s="583"/>
      <c r="AD142" s="492"/>
      <c r="AE142" s="493" t="s">
        <v>200</v>
      </c>
      <c r="AF142" s="46"/>
      <c r="AG142" s="499"/>
    </row>
    <row r="143" spans="1:33">
      <c r="A143" s="598"/>
      <c r="B143" s="246">
        <f>B142+1</f>
        <v>122</v>
      </c>
      <c r="C143" s="592"/>
      <c r="D143" s="502"/>
      <c r="E143" s="502"/>
      <c r="F143" s="492"/>
      <c r="G143" s="492"/>
      <c r="H143" s="492"/>
      <c r="I143" s="492"/>
      <c r="J143" s="493"/>
      <c r="K143" s="493"/>
      <c r="L143" s="493"/>
      <c r="M143" s="493"/>
      <c r="N143" s="493"/>
      <c r="O143" s="493"/>
      <c r="P143" s="493"/>
      <c r="Q143" s="493"/>
      <c r="R143" s="581"/>
      <c r="S143" s="581"/>
      <c r="T143" s="581"/>
      <c r="U143" s="472"/>
      <c r="V143" s="491" t="s">
        <v>142</v>
      </c>
      <c r="W143" s="185"/>
      <c r="X143" s="343"/>
      <c r="Y143" s="488"/>
      <c r="Z143" s="488"/>
      <c r="AA143" s="499"/>
      <c r="AB143" s="492"/>
      <c r="AC143" s="468" t="s">
        <v>141</v>
      </c>
      <c r="AD143" s="492"/>
      <c r="AE143" s="579"/>
      <c r="AF143" s="46"/>
      <c r="AG143" s="499"/>
    </row>
    <row r="144" spans="1:33" ht="30.6">
      <c r="A144" s="598"/>
      <c r="B144" s="246">
        <f t="shared" ref="B144:B150" si="11">B143+1</f>
        <v>123</v>
      </c>
      <c r="C144" s="592"/>
      <c r="E144" s="171" t="b">
        <v>0</v>
      </c>
      <c r="F144" s="3" t="s">
        <v>201</v>
      </c>
      <c r="H144" s="171" t="b">
        <v>0</v>
      </c>
      <c r="I144" s="180" t="s">
        <v>202</v>
      </c>
      <c r="J144" s="345" t="b">
        <v>0</v>
      </c>
      <c r="K144" s="168" t="s">
        <v>203</v>
      </c>
      <c r="L144" s="174" t="b">
        <v>0</v>
      </c>
      <c r="M144" s="8" t="s">
        <v>204</v>
      </c>
      <c r="N144" s="182"/>
      <c r="O144" s="174" t="b">
        <v>0</v>
      </c>
      <c r="P144" s="8" t="s">
        <v>205</v>
      </c>
      <c r="Q144" s="8"/>
      <c r="R144" s="581"/>
      <c r="S144" s="581"/>
      <c r="T144" s="581"/>
      <c r="U144" s="581"/>
      <c r="V144" s="581"/>
      <c r="W144" s="185"/>
      <c r="X144" s="175" t="b">
        <v>0</v>
      </c>
      <c r="Y144" s="176" t="s">
        <v>206</v>
      </c>
      <c r="Z144" s="500"/>
      <c r="AA144" s="14"/>
      <c r="AB144" s="467" t="b">
        <v>0</v>
      </c>
      <c r="AC144" s="340" t="s">
        <v>207</v>
      </c>
      <c r="AD144" s="14"/>
      <c r="AE144" s="579"/>
      <c r="AF144" s="45"/>
      <c r="AG144" s="14"/>
    </row>
    <row r="145" spans="1:33" ht="35.1" customHeight="1">
      <c r="A145" s="598"/>
      <c r="B145" s="246">
        <f t="shared" si="11"/>
        <v>124</v>
      </c>
      <c r="C145" s="592"/>
      <c r="E145" s="171" t="b">
        <v>0</v>
      </c>
      <c r="F145" s="168" t="s">
        <v>208</v>
      </c>
      <c r="H145" s="14"/>
      <c r="I145" s="180"/>
      <c r="J145" s="175" t="b">
        <v>0</v>
      </c>
      <c r="K145" s="594" t="s">
        <v>209</v>
      </c>
      <c r="L145" s="175" t="b">
        <v>0</v>
      </c>
      <c r="M145" s="176" t="s">
        <v>210</v>
      </c>
      <c r="N145" s="178">
        <v>44197</v>
      </c>
      <c r="O145" s="175" t="b">
        <v>0</v>
      </c>
      <c r="P145" s="176" t="s">
        <v>204</v>
      </c>
      <c r="Q145" s="8"/>
      <c r="R145" s="174" t="b">
        <v>0</v>
      </c>
      <c r="S145" s="8" t="s">
        <v>211</v>
      </c>
      <c r="T145" s="8" t="s">
        <v>140</v>
      </c>
      <c r="U145" s="175" t="b">
        <v>0</v>
      </c>
      <c r="V145" s="491" t="s">
        <v>212</v>
      </c>
      <c r="W145" s="184"/>
      <c r="X145" s="175" t="b">
        <v>0</v>
      </c>
      <c r="Y145" s="176" t="s">
        <v>213</v>
      </c>
      <c r="Z145" s="500"/>
      <c r="AA145" s="14"/>
      <c r="AB145" s="186"/>
      <c r="AC145" s="492" t="s">
        <v>142</v>
      </c>
      <c r="AD145" s="179"/>
      <c r="AE145" s="493" t="s">
        <v>214</v>
      </c>
      <c r="AF145" s="46"/>
      <c r="AG145" s="14"/>
    </row>
    <row r="146" spans="1:33" ht="14.45" customHeight="1">
      <c r="A146" s="598"/>
      <c r="B146" s="246">
        <f t="shared" si="11"/>
        <v>125</v>
      </c>
      <c r="C146" s="592"/>
      <c r="E146" s="171" t="b">
        <v>0</v>
      </c>
      <c r="F146" s="595" t="s">
        <v>229</v>
      </c>
      <c r="H146" s="171" t="b">
        <v>0</v>
      </c>
      <c r="I146" s="180" t="s">
        <v>216</v>
      </c>
      <c r="J146" s="176"/>
      <c r="K146" s="594"/>
      <c r="L146" s="174" t="b">
        <v>0</v>
      </c>
      <c r="M146" s="39" t="s">
        <v>217</v>
      </c>
      <c r="N146" s="523">
        <v>6</v>
      </c>
      <c r="O146" s="174" t="b">
        <v>0</v>
      </c>
      <c r="P146" s="8" t="s">
        <v>217</v>
      </c>
      <c r="Q146" s="523">
        <v>0</v>
      </c>
      <c r="R146" s="581"/>
      <c r="S146" s="581"/>
      <c r="T146" s="581"/>
      <c r="U146" s="590" t="s">
        <v>141</v>
      </c>
      <c r="V146" s="590"/>
      <c r="W146" s="590"/>
      <c r="X146" s="175" t="b">
        <v>0</v>
      </c>
      <c r="Y146" s="8" t="s">
        <v>218</v>
      </c>
      <c r="Z146" s="581"/>
      <c r="AA146" s="14"/>
      <c r="AB146" s="186"/>
      <c r="AC146" s="20"/>
      <c r="AD146" s="14"/>
      <c r="AE146" s="580"/>
      <c r="AF146" s="45"/>
      <c r="AG146" s="14"/>
    </row>
    <row r="147" spans="1:33">
      <c r="A147" s="598"/>
      <c r="B147" s="246">
        <f t="shared" si="11"/>
        <v>126</v>
      </c>
      <c r="C147" s="592"/>
      <c r="F147" s="595"/>
      <c r="H147" s="14"/>
      <c r="I147" s="14"/>
      <c r="J147" s="176"/>
      <c r="K147" s="8"/>
      <c r="L147" s="14"/>
      <c r="M147" s="14"/>
      <c r="N147" s="187"/>
      <c r="O147" s="8"/>
      <c r="P147" s="8"/>
      <c r="Q147" s="8"/>
      <c r="R147" s="581"/>
      <c r="S147" s="581"/>
      <c r="T147" s="581"/>
      <c r="U147" s="175" t="b">
        <v>0</v>
      </c>
      <c r="V147" s="176" t="s">
        <v>219</v>
      </c>
      <c r="W147" s="185"/>
      <c r="Y147" s="14"/>
      <c r="Z147" s="581"/>
      <c r="AA147" s="14"/>
      <c r="AB147" s="14"/>
      <c r="AC147" s="14"/>
      <c r="AD147" s="14"/>
      <c r="AE147" s="580"/>
      <c r="AF147" s="45"/>
      <c r="AG147" s="14"/>
    </row>
    <row r="148" spans="1:33" ht="30" customHeight="1">
      <c r="A148" s="598"/>
      <c r="B148" s="246">
        <f t="shared" si="11"/>
        <v>127</v>
      </c>
      <c r="C148" s="592"/>
      <c r="E148"/>
      <c r="H148" s="14"/>
      <c r="I148" s="14"/>
      <c r="J148" s="326"/>
      <c r="K148" s="182"/>
      <c r="L148" s="182"/>
      <c r="M148" s="182"/>
      <c r="N148" s="182"/>
      <c r="O148" s="8"/>
      <c r="P148" s="8"/>
      <c r="Q148" s="8"/>
      <c r="R148" s="174" t="b">
        <v>0</v>
      </c>
      <c r="S148" s="8" t="s">
        <v>220</v>
      </c>
      <c r="T148" s="8" t="s">
        <v>140</v>
      </c>
      <c r="U148" s="581"/>
      <c r="V148" s="581"/>
      <c r="Y148" s="14"/>
      <c r="Z148" s="322"/>
      <c r="AA148" s="14"/>
      <c r="AB148" s="14"/>
      <c r="AC148" s="14"/>
      <c r="AD148" s="14"/>
      <c r="AE148" s="14"/>
      <c r="AF148" s="45"/>
      <c r="AG148" s="14"/>
    </row>
    <row r="149" spans="1:33">
      <c r="A149" s="598"/>
      <c r="B149" s="246">
        <f t="shared" si="11"/>
        <v>128</v>
      </c>
      <c r="C149" s="592"/>
      <c r="E149"/>
      <c r="H149" s="181"/>
      <c r="I149" s="14"/>
      <c r="J149" s="326"/>
      <c r="K149" s="182"/>
      <c r="L149" s="182"/>
      <c r="M149" s="182"/>
      <c r="N149" s="182"/>
      <c r="O149" s="8"/>
      <c r="P149" s="8"/>
      <c r="Q149" s="8"/>
      <c r="R149" s="581"/>
      <c r="S149" s="581"/>
      <c r="T149" s="581"/>
      <c r="U149" s="175" t="b">
        <v>0</v>
      </c>
      <c r="V149" s="8" t="s">
        <v>221</v>
      </c>
      <c r="W149" s="8"/>
      <c r="Y149" s="14"/>
      <c r="Z149" s="322"/>
      <c r="AA149" s="14"/>
      <c r="AB149" s="14"/>
      <c r="AC149" s="14"/>
      <c r="AD149" s="14"/>
      <c r="AE149" s="14"/>
      <c r="AF149" s="45"/>
      <c r="AG149" s="14"/>
    </row>
    <row r="150" spans="1:33" ht="30" customHeight="1" thickBot="1">
      <c r="A150" s="599"/>
      <c r="B150" s="246">
        <f t="shared" si="11"/>
        <v>129</v>
      </c>
      <c r="C150" s="593"/>
      <c r="D150" s="47"/>
      <c r="E150" s="47"/>
      <c r="F150" s="47"/>
      <c r="G150" s="47"/>
      <c r="H150" s="48"/>
      <c r="I150" s="48"/>
      <c r="J150" s="327"/>
      <c r="K150" s="49"/>
      <c r="L150" s="49"/>
      <c r="M150" s="49"/>
      <c r="N150" s="49"/>
      <c r="O150" s="50"/>
      <c r="P150" s="50"/>
      <c r="Q150" s="50"/>
      <c r="R150" s="581"/>
      <c r="S150" s="581"/>
      <c r="T150" s="581"/>
      <c r="U150" s="581"/>
      <c r="V150" s="581"/>
      <c r="W150" s="50"/>
      <c r="X150" s="342"/>
      <c r="Y150" s="48"/>
      <c r="Z150" s="323"/>
      <c r="AA150" s="48"/>
      <c r="AB150" s="48"/>
      <c r="AC150" s="48"/>
      <c r="AD150" s="48"/>
      <c r="AE150" s="48"/>
      <c r="AF150" s="51"/>
      <c r="AG150" s="14"/>
    </row>
    <row r="151" spans="1:33" ht="15" hidden="1" customHeight="1" thickBot="1">
      <c r="A151" s="79"/>
      <c r="B151" s="200"/>
      <c r="C151" s="333"/>
      <c r="D151" s="334"/>
      <c r="E151" s="334"/>
      <c r="F151" s="334"/>
      <c r="G151" s="334"/>
      <c r="H151" s="334"/>
      <c r="I151" s="334"/>
      <c r="J151" s="335"/>
      <c r="K151" s="334"/>
      <c r="L151" s="334"/>
      <c r="M151" s="334"/>
      <c r="N151" s="334"/>
      <c r="O151" s="334"/>
      <c r="P151" s="334"/>
      <c r="Q151" s="334"/>
      <c r="R151" s="334"/>
      <c r="S151" s="334"/>
      <c r="T151" s="334"/>
      <c r="U151" s="335"/>
      <c r="V151" s="334"/>
      <c r="W151" s="334"/>
      <c r="X151" s="335"/>
      <c r="Y151" s="334"/>
      <c r="Z151" s="336"/>
      <c r="AA151" s="334"/>
      <c r="AB151" s="334"/>
      <c r="AC151" s="334"/>
      <c r="AD151" s="334"/>
      <c r="AE151" s="334"/>
      <c r="AF151" s="337"/>
      <c r="AG151" s="79"/>
    </row>
    <row r="152" spans="1:33" ht="5.0999999999999996" customHeight="1" thickBot="1">
      <c r="A152" s="79"/>
      <c r="B152" s="200"/>
      <c r="C152" s="332"/>
      <c r="D152" s="197"/>
      <c r="E152" s="197"/>
      <c r="F152" s="197"/>
      <c r="G152" s="197"/>
      <c r="H152" s="197"/>
      <c r="I152" s="197"/>
      <c r="J152" s="330"/>
      <c r="K152" s="197"/>
      <c r="L152" s="197"/>
      <c r="M152" s="197"/>
      <c r="N152" s="197"/>
      <c r="O152" s="197"/>
      <c r="P152" s="197"/>
      <c r="Q152" s="197"/>
      <c r="R152" s="197"/>
      <c r="S152" s="197"/>
      <c r="T152" s="197"/>
      <c r="U152" s="330"/>
      <c r="V152" s="197"/>
      <c r="W152" s="197"/>
      <c r="X152" s="330"/>
      <c r="Y152" s="197"/>
      <c r="Z152" s="331"/>
      <c r="AA152" s="197"/>
      <c r="AB152" s="197"/>
      <c r="AC152" s="197"/>
      <c r="AD152" s="197"/>
      <c r="AE152" s="197"/>
      <c r="AF152" s="261"/>
      <c r="AG152" s="79"/>
    </row>
    <row r="153" spans="1:33" ht="15" hidden="1" customHeight="1" thickBot="1">
      <c r="A153" s="79"/>
      <c r="B153" s="200"/>
      <c r="C153" s="188"/>
      <c r="D153" s="189"/>
      <c r="E153" s="189"/>
      <c r="F153" s="189"/>
      <c r="G153" s="189"/>
      <c r="H153" s="189"/>
      <c r="I153" s="189"/>
      <c r="J153" s="325"/>
      <c r="K153" s="189"/>
      <c r="L153" s="189"/>
      <c r="M153" s="189"/>
      <c r="N153" s="189"/>
      <c r="O153" s="189"/>
      <c r="P153" s="189"/>
      <c r="Q153" s="189"/>
      <c r="R153" s="189"/>
      <c r="S153" s="189"/>
      <c r="T153" s="189"/>
      <c r="U153" s="325"/>
      <c r="V153" s="189"/>
      <c r="W153" s="189"/>
      <c r="X153" s="325"/>
      <c r="Y153" s="189"/>
      <c r="Z153" s="324"/>
      <c r="AA153" s="189"/>
      <c r="AB153" s="189"/>
      <c r="AC153" s="189"/>
      <c r="AD153" s="189"/>
      <c r="AE153" s="189"/>
      <c r="AF153" s="190"/>
      <c r="AG153" s="79"/>
    </row>
    <row r="154" spans="1:33" ht="29.1" customHeight="1">
      <c r="A154" s="597">
        <f>A142+1</f>
        <v>13</v>
      </c>
      <c r="B154" s="246">
        <f>B142+10</f>
        <v>131</v>
      </c>
      <c r="C154" s="591" t="str">
        <f>VLOOKUP(A154,INputs!$G$3:$O$22,7,FALSE)</f>
        <v>Please fill out Sensitivity Labels Tab</v>
      </c>
      <c r="D154" s="498"/>
      <c r="E154" s="498"/>
      <c r="F154" s="583" t="s">
        <v>141</v>
      </c>
      <c r="G154" s="583"/>
      <c r="H154" s="583" t="s">
        <v>141</v>
      </c>
      <c r="I154" s="583"/>
      <c r="J154" s="584" t="str">
        <f>J$10</f>
        <v>Select a check box</v>
      </c>
      <c r="K154" s="584"/>
      <c r="L154" s="584" t="s">
        <v>141</v>
      </c>
      <c r="M154" s="584"/>
      <c r="N154" s="584"/>
      <c r="O154" s="584" t="s">
        <v>141</v>
      </c>
      <c r="P154" s="584"/>
      <c r="Q154" s="584"/>
      <c r="R154" s="588" t="s">
        <v>198</v>
      </c>
      <c r="S154" s="588"/>
      <c r="T154" s="344" t="s">
        <v>140</v>
      </c>
      <c r="U154" s="589" t="s">
        <v>199</v>
      </c>
      <c r="V154" s="589"/>
      <c r="W154" s="42"/>
      <c r="X154" s="341"/>
      <c r="Y154" s="582" t="s">
        <v>141</v>
      </c>
      <c r="Z154" s="582"/>
      <c r="AA154" s="43"/>
      <c r="AB154" s="583"/>
      <c r="AC154" s="583"/>
      <c r="AD154" s="487"/>
      <c r="AE154" s="489" t="s">
        <v>200</v>
      </c>
      <c r="AF154" s="44"/>
      <c r="AG154" s="499"/>
    </row>
    <row r="155" spans="1:33">
      <c r="A155" s="598"/>
      <c r="B155" s="246">
        <f>B154+1</f>
        <v>132</v>
      </c>
      <c r="C155" s="592"/>
      <c r="D155" s="502"/>
      <c r="E155" s="502"/>
      <c r="F155" s="492"/>
      <c r="G155" s="492"/>
      <c r="H155" s="492"/>
      <c r="I155" s="492"/>
      <c r="J155" s="493"/>
      <c r="K155" s="493"/>
      <c r="L155" s="493"/>
      <c r="M155" s="493"/>
      <c r="N155" s="493"/>
      <c r="O155" s="493"/>
      <c r="P155" s="493"/>
      <c r="Q155" s="493"/>
      <c r="R155" s="581"/>
      <c r="S155" s="581"/>
      <c r="T155" s="581"/>
      <c r="U155" s="472"/>
      <c r="V155" s="491" t="s">
        <v>142</v>
      </c>
      <c r="W155" s="185"/>
      <c r="X155" s="343"/>
      <c r="Y155" s="488"/>
      <c r="Z155" s="488"/>
      <c r="AA155" s="499"/>
      <c r="AB155" s="492"/>
      <c r="AC155" s="468" t="s">
        <v>141</v>
      </c>
      <c r="AD155" s="492"/>
      <c r="AE155" s="579"/>
      <c r="AF155" s="46"/>
      <c r="AG155" s="499"/>
    </row>
    <row r="156" spans="1:33" ht="30.6">
      <c r="A156" s="598"/>
      <c r="B156" s="246">
        <f t="shared" ref="B156:B162" si="12">B155+1</f>
        <v>133</v>
      </c>
      <c r="C156" s="592"/>
      <c r="E156" s="171" t="b">
        <v>0</v>
      </c>
      <c r="F156" s="3" t="s">
        <v>201</v>
      </c>
      <c r="H156" s="171" t="b">
        <v>0</v>
      </c>
      <c r="I156" s="180" t="s">
        <v>202</v>
      </c>
      <c r="J156" s="172" t="b">
        <v>0</v>
      </c>
      <c r="K156" s="173" t="s">
        <v>203</v>
      </c>
      <c r="L156" s="174" t="b">
        <v>0</v>
      </c>
      <c r="M156" s="8" t="s">
        <v>204</v>
      </c>
      <c r="N156" s="182"/>
      <c r="O156" s="174" t="b">
        <v>0</v>
      </c>
      <c r="P156" s="8" t="s">
        <v>205</v>
      </c>
      <c r="Q156" s="8"/>
      <c r="R156" s="581"/>
      <c r="S156" s="581"/>
      <c r="T156" s="581"/>
      <c r="U156" s="581"/>
      <c r="V156" s="581"/>
      <c r="W156" s="185"/>
      <c r="X156" s="175" t="b">
        <v>0</v>
      </c>
      <c r="Y156" s="176" t="s">
        <v>206</v>
      </c>
      <c r="Z156" s="500"/>
      <c r="AA156" s="14"/>
      <c r="AB156" s="467" t="b">
        <v>0</v>
      </c>
      <c r="AC156" s="340" t="s">
        <v>207</v>
      </c>
      <c r="AD156" s="14"/>
      <c r="AE156" s="579"/>
      <c r="AF156" s="45"/>
      <c r="AG156" s="14"/>
    </row>
    <row r="157" spans="1:33" ht="35.1" customHeight="1">
      <c r="A157" s="598"/>
      <c r="B157" s="246">
        <f t="shared" si="12"/>
        <v>134</v>
      </c>
      <c r="C157" s="592"/>
      <c r="E157" s="171" t="b">
        <v>0</v>
      </c>
      <c r="F157" s="168" t="s">
        <v>208</v>
      </c>
      <c r="H157" s="14"/>
      <c r="I157" s="180"/>
      <c r="J157" s="175" t="b">
        <v>0</v>
      </c>
      <c r="K157" s="594" t="s">
        <v>209</v>
      </c>
      <c r="L157" s="175" t="b">
        <v>0</v>
      </c>
      <c r="M157" s="176" t="s">
        <v>210</v>
      </c>
      <c r="N157" s="338">
        <v>44197</v>
      </c>
      <c r="O157" s="175" t="b">
        <v>0</v>
      </c>
      <c r="P157" s="176" t="s">
        <v>204</v>
      </c>
      <c r="Q157" s="176"/>
      <c r="R157" s="174" t="b">
        <v>0</v>
      </c>
      <c r="S157" s="8" t="s">
        <v>211</v>
      </c>
      <c r="T157" s="8" t="s">
        <v>140</v>
      </c>
      <c r="U157" s="175" t="b">
        <v>0</v>
      </c>
      <c r="V157" s="491" t="s">
        <v>212</v>
      </c>
      <c r="W157" s="184"/>
      <c r="X157" s="175" t="b">
        <v>0</v>
      </c>
      <c r="Y157" s="176" t="s">
        <v>213</v>
      </c>
      <c r="Z157" s="500"/>
      <c r="AA157" s="14"/>
      <c r="AB157" s="186"/>
      <c r="AC157" s="492" t="s">
        <v>142</v>
      </c>
      <c r="AD157" s="179"/>
      <c r="AE157" s="493" t="s">
        <v>214</v>
      </c>
      <c r="AF157" s="46"/>
      <c r="AG157" s="14"/>
    </row>
    <row r="158" spans="1:33" ht="14.45" customHeight="1">
      <c r="A158" s="598"/>
      <c r="B158" s="246">
        <f t="shared" si="12"/>
        <v>135</v>
      </c>
      <c r="C158" s="592"/>
      <c r="E158" s="171" t="b">
        <v>0</v>
      </c>
      <c r="F158" s="595" t="s">
        <v>229</v>
      </c>
      <c r="H158" s="171" t="b">
        <v>0</v>
      </c>
      <c r="I158" s="180" t="s">
        <v>216</v>
      </c>
      <c r="J158" s="176"/>
      <c r="K158" s="594"/>
      <c r="L158" s="174" t="b">
        <v>0</v>
      </c>
      <c r="M158" s="39" t="s">
        <v>217</v>
      </c>
      <c r="N158" s="523">
        <v>6</v>
      </c>
      <c r="O158" s="174" t="b">
        <v>0</v>
      </c>
      <c r="P158" s="8" t="s">
        <v>217</v>
      </c>
      <c r="Q158" s="523">
        <v>0</v>
      </c>
      <c r="R158" s="581"/>
      <c r="S158" s="581"/>
      <c r="T158" s="581"/>
      <c r="U158" s="590" t="s">
        <v>141</v>
      </c>
      <c r="V158" s="590"/>
      <c r="W158" s="590"/>
      <c r="X158" s="175" t="b">
        <v>0</v>
      </c>
      <c r="Y158" s="8" t="s">
        <v>218</v>
      </c>
      <c r="Z158" s="581"/>
      <c r="AA158" s="14"/>
      <c r="AB158" s="186"/>
      <c r="AC158" s="20"/>
      <c r="AD158" s="14"/>
      <c r="AE158" s="580"/>
      <c r="AF158" s="45"/>
      <c r="AG158" s="14"/>
    </row>
    <row r="159" spans="1:33">
      <c r="A159" s="598"/>
      <c r="B159" s="246">
        <f t="shared" si="12"/>
        <v>136</v>
      </c>
      <c r="C159" s="592"/>
      <c r="F159" s="595"/>
      <c r="H159" s="14"/>
      <c r="I159" s="14"/>
      <c r="J159" s="176"/>
      <c r="K159" s="8"/>
      <c r="L159" s="14"/>
      <c r="M159" s="14"/>
      <c r="N159" s="187"/>
      <c r="O159" s="8"/>
      <c r="P159" s="8"/>
      <c r="Q159" s="8"/>
      <c r="R159" s="581"/>
      <c r="S159" s="581"/>
      <c r="T159" s="581"/>
      <c r="U159" s="175" t="b">
        <v>0</v>
      </c>
      <c r="V159" s="176" t="s">
        <v>219</v>
      </c>
      <c r="W159" s="185"/>
      <c r="Y159" s="14"/>
      <c r="Z159" s="581"/>
      <c r="AA159" s="14"/>
      <c r="AB159" s="14"/>
      <c r="AC159" s="14"/>
      <c r="AD159" s="14"/>
      <c r="AE159" s="580"/>
      <c r="AF159" s="45"/>
      <c r="AG159" s="14"/>
    </row>
    <row r="160" spans="1:33" ht="30" customHeight="1">
      <c r="A160" s="598"/>
      <c r="B160" s="246">
        <f t="shared" si="12"/>
        <v>137</v>
      </c>
      <c r="C160" s="592"/>
      <c r="E160"/>
      <c r="H160" s="14"/>
      <c r="I160" s="14"/>
      <c r="J160" s="326"/>
      <c r="K160" s="182"/>
      <c r="L160" s="182"/>
      <c r="M160" s="182"/>
      <c r="N160" s="182"/>
      <c r="O160" s="8"/>
      <c r="P160" s="8"/>
      <c r="Q160" s="8"/>
      <c r="R160" s="174" t="b">
        <v>0</v>
      </c>
      <c r="S160" s="8" t="s">
        <v>220</v>
      </c>
      <c r="T160" s="8" t="s">
        <v>140</v>
      </c>
      <c r="U160" s="581"/>
      <c r="V160" s="581"/>
      <c r="Y160" s="14"/>
      <c r="Z160" s="322"/>
      <c r="AA160" s="14"/>
      <c r="AB160" s="14"/>
      <c r="AC160" s="14"/>
      <c r="AD160" s="14"/>
      <c r="AE160" s="14"/>
      <c r="AF160" s="45"/>
      <c r="AG160" s="14"/>
    </row>
    <row r="161" spans="1:33">
      <c r="A161" s="598"/>
      <c r="B161" s="246">
        <f t="shared" si="12"/>
        <v>138</v>
      </c>
      <c r="C161" s="592"/>
      <c r="E161"/>
      <c r="H161" s="181"/>
      <c r="I161" s="14"/>
      <c r="J161" s="326"/>
      <c r="K161" s="182"/>
      <c r="L161" s="182"/>
      <c r="M161" s="182"/>
      <c r="N161" s="182"/>
      <c r="O161" s="8"/>
      <c r="P161" s="8"/>
      <c r="Q161" s="8"/>
      <c r="R161" s="581"/>
      <c r="S161" s="581"/>
      <c r="T161" s="581"/>
      <c r="U161" s="175" t="b">
        <v>0</v>
      </c>
      <c r="V161" s="8" t="s">
        <v>221</v>
      </c>
      <c r="W161" s="8"/>
      <c r="Y161" s="14"/>
      <c r="Z161" s="322"/>
      <c r="AA161" s="14"/>
      <c r="AB161" s="14"/>
      <c r="AC161" s="14"/>
      <c r="AD161" s="14"/>
      <c r="AE161" s="14"/>
      <c r="AF161" s="45"/>
      <c r="AG161" s="14"/>
    </row>
    <row r="162" spans="1:33" ht="30" customHeight="1" thickBot="1">
      <c r="A162" s="599"/>
      <c r="B162" s="246">
        <f t="shared" si="12"/>
        <v>139</v>
      </c>
      <c r="C162" s="593"/>
      <c r="D162" s="47"/>
      <c r="E162" s="47"/>
      <c r="F162" s="47"/>
      <c r="G162" s="47"/>
      <c r="H162" s="48"/>
      <c r="I162" s="48"/>
      <c r="J162" s="327"/>
      <c r="K162" s="49"/>
      <c r="L162" s="49"/>
      <c r="M162" s="49"/>
      <c r="N162" s="49"/>
      <c r="O162" s="50"/>
      <c r="P162" s="50"/>
      <c r="Q162" s="50"/>
      <c r="R162" s="581"/>
      <c r="S162" s="581"/>
      <c r="T162" s="581"/>
      <c r="U162" s="581"/>
      <c r="V162" s="581"/>
      <c r="W162" s="50"/>
      <c r="X162" s="342"/>
      <c r="Y162" s="48"/>
      <c r="Z162" s="323"/>
      <c r="AA162" s="48"/>
      <c r="AB162" s="48"/>
      <c r="AC162" s="48"/>
      <c r="AD162" s="48"/>
      <c r="AE162" s="48"/>
      <c r="AF162" s="51"/>
      <c r="AG162" s="14"/>
    </row>
    <row r="163" spans="1:33" ht="15" hidden="1" customHeight="1" thickBot="1">
      <c r="A163" s="79"/>
      <c r="B163" s="200"/>
      <c r="C163" s="333"/>
      <c r="D163" s="334"/>
      <c r="E163" s="334"/>
      <c r="F163" s="334"/>
      <c r="G163" s="334"/>
      <c r="H163" s="334"/>
      <c r="I163" s="334"/>
      <c r="J163" s="335"/>
      <c r="K163" s="334"/>
      <c r="L163" s="334"/>
      <c r="M163" s="334"/>
      <c r="N163" s="334"/>
      <c r="O163" s="334"/>
      <c r="P163" s="334"/>
      <c r="Q163" s="334"/>
      <c r="R163" s="334"/>
      <c r="S163" s="334"/>
      <c r="T163" s="334"/>
      <c r="U163" s="335"/>
      <c r="V163" s="334"/>
      <c r="W163" s="334"/>
      <c r="X163" s="335"/>
      <c r="Y163" s="334"/>
      <c r="Z163" s="336"/>
      <c r="AA163" s="334"/>
      <c r="AB163" s="334"/>
      <c r="AC163" s="334"/>
      <c r="AD163" s="334"/>
      <c r="AE163" s="334"/>
      <c r="AF163" s="337"/>
      <c r="AG163" s="79"/>
    </row>
    <row r="164" spans="1:33" ht="5.0999999999999996" customHeight="1" thickBot="1">
      <c r="A164" s="79"/>
      <c r="B164" s="200"/>
      <c r="C164" s="332"/>
      <c r="D164" s="197"/>
      <c r="E164" s="197"/>
      <c r="F164" s="197"/>
      <c r="G164" s="197"/>
      <c r="H164" s="197"/>
      <c r="I164" s="197"/>
      <c r="J164" s="330"/>
      <c r="K164" s="197"/>
      <c r="L164" s="197"/>
      <c r="M164" s="197"/>
      <c r="N164" s="197"/>
      <c r="O164" s="197"/>
      <c r="P164" s="197"/>
      <c r="Q164" s="197"/>
      <c r="R164" s="197"/>
      <c r="S164" s="197"/>
      <c r="T164" s="197"/>
      <c r="U164" s="330"/>
      <c r="V164" s="197"/>
      <c r="W164" s="197"/>
      <c r="X164" s="330"/>
      <c r="Y164" s="197"/>
      <c r="Z164" s="331"/>
      <c r="AA164" s="197"/>
      <c r="AB164" s="197"/>
      <c r="AC164" s="197"/>
      <c r="AD164" s="197"/>
      <c r="AE164" s="197"/>
      <c r="AF164" s="261"/>
      <c r="AG164" s="79"/>
    </row>
    <row r="165" spans="1:33" ht="15" hidden="1" customHeight="1" thickBot="1">
      <c r="A165" s="79"/>
      <c r="B165" s="200"/>
      <c r="C165" s="188"/>
      <c r="D165" s="189"/>
      <c r="E165" s="189"/>
      <c r="F165" s="189"/>
      <c r="G165" s="189"/>
      <c r="H165" s="189"/>
      <c r="I165" s="189"/>
      <c r="J165" s="325"/>
      <c r="K165" s="189"/>
      <c r="L165" s="189"/>
      <c r="M165" s="189"/>
      <c r="N165" s="189"/>
      <c r="O165" s="189"/>
      <c r="P165" s="189"/>
      <c r="Q165" s="189"/>
      <c r="R165" s="189"/>
      <c r="S165" s="189"/>
      <c r="T165" s="189"/>
      <c r="U165" s="325"/>
      <c r="V165" s="189"/>
      <c r="W165" s="189"/>
      <c r="X165" s="325"/>
      <c r="Y165" s="189"/>
      <c r="Z165" s="324"/>
      <c r="AA165" s="189"/>
      <c r="AB165" s="189"/>
      <c r="AC165" s="189"/>
      <c r="AD165" s="189"/>
      <c r="AE165" s="189"/>
      <c r="AF165" s="190"/>
      <c r="AG165" s="79"/>
    </row>
    <row r="166" spans="1:33" ht="29.1" customHeight="1">
      <c r="A166" s="597">
        <f>A154+1</f>
        <v>14</v>
      </c>
      <c r="B166" s="246">
        <f>B154+10</f>
        <v>141</v>
      </c>
      <c r="C166" s="591" t="str">
        <f>VLOOKUP(A166,INputs!$G$3:$O$22,7,FALSE)</f>
        <v>Please fill out Sensitivity Labels Tab</v>
      </c>
      <c r="D166" s="498"/>
      <c r="E166" s="498"/>
      <c r="F166" s="583" t="s">
        <v>141</v>
      </c>
      <c r="G166" s="583"/>
      <c r="H166" s="583" t="s">
        <v>141</v>
      </c>
      <c r="I166" s="583"/>
      <c r="J166" s="584" t="str">
        <f>J$10</f>
        <v>Select a check box</v>
      </c>
      <c r="K166" s="584"/>
      <c r="L166" s="584" t="s">
        <v>141</v>
      </c>
      <c r="M166" s="584"/>
      <c r="N166" s="584"/>
      <c r="O166" s="584" t="s">
        <v>141</v>
      </c>
      <c r="P166" s="584"/>
      <c r="Q166" s="584"/>
      <c r="R166" s="588" t="s">
        <v>198</v>
      </c>
      <c r="S166" s="588"/>
      <c r="T166" s="344" t="s">
        <v>140</v>
      </c>
      <c r="U166" s="589" t="s">
        <v>199</v>
      </c>
      <c r="V166" s="589"/>
      <c r="W166" s="42"/>
      <c r="X166" s="341"/>
      <c r="Y166" s="582" t="s">
        <v>141</v>
      </c>
      <c r="Z166" s="582"/>
      <c r="AA166" s="43"/>
      <c r="AB166" s="583"/>
      <c r="AC166" s="583"/>
      <c r="AD166" s="487"/>
      <c r="AE166" s="489" t="s">
        <v>200</v>
      </c>
      <c r="AF166" s="44"/>
      <c r="AG166" s="499"/>
    </row>
    <row r="167" spans="1:33">
      <c r="A167" s="598"/>
      <c r="B167" s="246">
        <f>B166+1</f>
        <v>142</v>
      </c>
      <c r="C167" s="592"/>
      <c r="D167" s="502"/>
      <c r="E167" s="502"/>
      <c r="F167" s="492"/>
      <c r="G167" s="492"/>
      <c r="H167" s="492"/>
      <c r="I167" s="492"/>
      <c r="J167" s="493"/>
      <c r="K167" s="493"/>
      <c r="L167" s="493"/>
      <c r="M167" s="493"/>
      <c r="N167" s="493"/>
      <c r="O167" s="493"/>
      <c r="P167" s="493"/>
      <c r="Q167" s="493"/>
      <c r="R167" s="581"/>
      <c r="S167" s="581"/>
      <c r="T167" s="581"/>
      <c r="U167" s="472"/>
      <c r="V167" s="491" t="s">
        <v>142</v>
      </c>
      <c r="W167" s="185"/>
      <c r="X167" s="343"/>
      <c r="Y167" s="488"/>
      <c r="Z167" s="488"/>
      <c r="AA167" s="499"/>
      <c r="AB167" s="492"/>
      <c r="AC167" s="468" t="s">
        <v>141</v>
      </c>
      <c r="AD167" s="492"/>
      <c r="AE167" s="579"/>
      <c r="AF167" s="46"/>
      <c r="AG167" s="499"/>
    </row>
    <row r="168" spans="1:33" ht="30.6">
      <c r="A168" s="598"/>
      <c r="B168" s="246">
        <f t="shared" ref="B168:B174" si="13">B167+1</f>
        <v>143</v>
      </c>
      <c r="C168" s="592"/>
      <c r="E168" s="171" t="b">
        <v>0</v>
      </c>
      <c r="F168" s="3" t="s">
        <v>201</v>
      </c>
      <c r="H168" s="171" t="b">
        <v>0</v>
      </c>
      <c r="I168" s="180" t="s">
        <v>202</v>
      </c>
      <c r="J168" s="172" t="b">
        <v>0</v>
      </c>
      <c r="K168" s="173" t="s">
        <v>203</v>
      </c>
      <c r="L168" s="174" t="b">
        <v>0</v>
      </c>
      <c r="M168" s="8" t="s">
        <v>204</v>
      </c>
      <c r="N168" s="182"/>
      <c r="O168" s="174" t="b">
        <v>0</v>
      </c>
      <c r="P168" s="8" t="s">
        <v>205</v>
      </c>
      <c r="Q168" s="8"/>
      <c r="R168" s="581"/>
      <c r="S168" s="581"/>
      <c r="T168" s="581"/>
      <c r="U168" s="581"/>
      <c r="V168" s="581"/>
      <c r="W168" s="185"/>
      <c r="X168" s="175" t="b">
        <v>0</v>
      </c>
      <c r="Y168" s="176" t="s">
        <v>206</v>
      </c>
      <c r="Z168" s="500"/>
      <c r="AA168" s="14"/>
      <c r="AB168" s="467" t="b">
        <v>0</v>
      </c>
      <c r="AC168" s="340" t="s">
        <v>207</v>
      </c>
      <c r="AD168" s="14"/>
      <c r="AE168" s="579"/>
      <c r="AF168" s="45"/>
      <c r="AG168" s="14"/>
    </row>
    <row r="169" spans="1:33" ht="35.1" customHeight="1">
      <c r="A169" s="598"/>
      <c r="B169" s="246">
        <f t="shared" si="13"/>
        <v>144</v>
      </c>
      <c r="C169" s="592"/>
      <c r="E169" s="171" t="b">
        <v>0</v>
      </c>
      <c r="F169" s="168" t="s">
        <v>208</v>
      </c>
      <c r="H169" s="14"/>
      <c r="I169" s="180"/>
      <c r="J169" s="175" t="b">
        <v>0</v>
      </c>
      <c r="K169" s="594" t="s">
        <v>209</v>
      </c>
      <c r="L169" s="175" t="b">
        <v>0</v>
      </c>
      <c r="M169" s="176" t="s">
        <v>210</v>
      </c>
      <c r="N169" s="338">
        <v>44197</v>
      </c>
      <c r="O169" s="175" t="b">
        <v>0</v>
      </c>
      <c r="P169" s="176" t="s">
        <v>204</v>
      </c>
      <c r="Q169" s="176"/>
      <c r="R169" s="174" t="b">
        <v>0</v>
      </c>
      <c r="S169" s="8" t="s">
        <v>211</v>
      </c>
      <c r="T169" s="8" t="s">
        <v>140</v>
      </c>
      <c r="U169" s="175" t="b">
        <v>0</v>
      </c>
      <c r="V169" s="491" t="s">
        <v>212</v>
      </c>
      <c r="W169" s="184"/>
      <c r="X169" s="175" t="b">
        <v>0</v>
      </c>
      <c r="Y169" s="176" t="s">
        <v>213</v>
      </c>
      <c r="Z169" s="500"/>
      <c r="AA169" s="14"/>
      <c r="AB169" s="186"/>
      <c r="AC169" s="492" t="s">
        <v>142</v>
      </c>
      <c r="AD169" s="179"/>
      <c r="AE169" s="493" t="s">
        <v>214</v>
      </c>
      <c r="AF169" s="46"/>
      <c r="AG169" s="14"/>
    </row>
    <row r="170" spans="1:33" ht="14.45" customHeight="1">
      <c r="A170" s="598"/>
      <c r="B170" s="246">
        <f t="shared" si="13"/>
        <v>145</v>
      </c>
      <c r="C170" s="592"/>
      <c r="E170" s="171" t="b">
        <v>0</v>
      </c>
      <c r="F170" s="595" t="s">
        <v>229</v>
      </c>
      <c r="H170" s="171" t="b">
        <v>0</v>
      </c>
      <c r="I170" s="180" t="s">
        <v>216</v>
      </c>
      <c r="J170" s="176"/>
      <c r="K170" s="594"/>
      <c r="L170" s="174" t="b">
        <v>0</v>
      </c>
      <c r="M170" s="39" t="s">
        <v>217</v>
      </c>
      <c r="N170" s="523">
        <v>6</v>
      </c>
      <c r="O170" s="174" t="b">
        <v>0</v>
      </c>
      <c r="P170" s="8" t="s">
        <v>217</v>
      </c>
      <c r="Q170" s="523">
        <v>0</v>
      </c>
      <c r="R170" s="581"/>
      <c r="S170" s="581"/>
      <c r="T170" s="581"/>
      <c r="U170" s="590" t="s">
        <v>141</v>
      </c>
      <c r="V170" s="590"/>
      <c r="W170" s="590"/>
      <c r="X170" s="175" t="b">
        <v>0</v>
      </c>
      <c r="Y170" s="8" t="s">
        <v>218</v>
      </c>
      <c r="Z170" s="581"/>
      <c r="AA170" s="14"/>
      <c r="AB170" s="186"/>
      <c r="AC170" s="20"/>
      <c r="AD170" s="14"/>
      <c r="AE170" s="580"/>
      <c r="AF170" s="45"/>
      <c r="AG170" s="14"/>
    </row>
    <row r="171" spans="1:33">
      <c r="A171" s="598"/>
      <c r="B171" s="246">
        <f t="shared" si="13"/>
        <v>146</v>
      </c>
      <c r="C171" s="592"/>
      <c r="F171" s="595"/>
      <c r="H171" s="14"/>
      <c r="I171" s="14"/>
      <c r="J171" s="176"/>
      <c r="K171" s="8"/>
      <c r="L171" s="14"/>
      <c r="M171" s="14"/>
      <c r="N171" s="187"/>
      <c r="O171" s="8"/>
      <c r="P171" s="8"/>
      <c r="Q171" s="8"/>
      <c r="R171" s="581"/>
      <c r="S171" s="581"/>
      <c r="T171" s="581"/>
      <c r="U171" s="175" t="b">
        <v>0</v>
      </c>
      <c r="V171" s="176" t="s">
        <v>219</v>
      </c>
      <c r="W171" s="185"/>
      <c r="Y171" s="14"/>
      <c r="Z171" s="581"/>
      <c r="AA171" s="14"/>
      <c r="AB171" s="14"/>
      <c r="AC171" s="14"/>
      <c r="AD171" s="14"/>
      <c r="AE171" s="580"/>
      <c r="AF171" s="45"/>
      <c r="AG171" s="14"/>
    </row>
    <row r="172" spans="1:33" ht="30" customHeight="1">
      <c r="A172" s="598"/>
      <c r="B172" s="246">
        <f t="shared" si="13"/>
        <v>147</v>
      </c>
      <c r="C172" s="592"/>
      <c r="E172"/>
      <c r="H172" s="14"/>
      <c r="I172" s="14"/>
      <c r="J172" s="326"/>
      <c r="K172" s="182"/>
      <c r="L172" s="182"/>
      <c r="M172" s="182"/>
      <c r="N172" s="182"/>
      <c r="O172" s="8"/>
      <c r="P172" s="8"/>
      <c r="Q172" s="8"/>
      <c r="R172" s="174" t="b">
        <v>0</v>
      </c>
      <c r="S172" s="8" t="s">
        <v>220</v>
      </c>
      <c r="T172" s="8" t="s">
        <v>140</v>
      </c>
      <c r="U172" s="581"/>
      <c r="V172" s="581"/>
      <c r="Y172" s="14"/>
      <c r="Z172" s="322"/>
      <c r="AA172" s="14"/>
      <c r="AB172" s="14"/>
      <c r="AC172" s="14"/>
      <c r="AD172" s="14"/>
      <c r="AE172" s="14"/>
      <c r="AF172" s="45"/>
      <c r="AG172" s="14"/>
    </row>
    <row r="173" spans="1:33">
      <c r="A173" s="598"/>
      <c r="B173" s="246">
        <f t="shared" si="13"/>
        <v>148</v>
      </c>
      <c r="C173" s="592"/>
      <c r="E173"/>
      <c r="H173" s="181"/>
      <c r="I173" s="14"/>
      <c r="J173" s="326"/>
      <c r="K173" s="182"/>
      <c r="L173" s="182"/>
      <c r="M173" s="182"/>
      <c r="N173" s="182"/>
      <c r="O173" s="8"/>
      <c r="P173" s="8"/>
      <c r="Q173" s="8"/>
      <c r="R173" s="581"/>
      <c r="S173" s="581"/>
      <c r="T173" s="581"/>
      <c r="U173" s="175" t="b">
        <v>0</v>
      </c>
      <c r="V173" s="8" t="s">
        <v>221</v>
      </c>
      <c r="W173" s="8"/>
      <c r="Y173" s="14"/>
      <c r="Z173" s="322"/>
      <c r="AA173" s="14"/>
      <c r="AB173" s="14"/>
      <c r="AC173" s="14"/>
      <c r="AD173" s="14"/>
      <c r="AE173" s="14"/>
      <c r="AF173" s="45"/>
      <c r="AG173" s="14"/>
    </row>
    <row r="174" spans="1:33" ht="30" customHeight="1" thickBot="1">
      <c r="A174" s="599"/>
      <c r="B174" s="246">
        <f t="shared" si="13"/>
        <v>149</v>
      </c>
      <c r="C174" s="593"/>
      <c r="D174" s="47"/>
      <c r="E174" s="47"/>
      <c r="F174" s="47"/>
      <c r="G174" s="47"/>
      <c r="H174" s="48"/>
      <c r="I174" s="48"/>
      <c r="J174" s="327"/>
      <c r="K174" s="49"/>
      <c r="L174" s="49"/>
      <c r="M174" s="49"/>
      <c r="N174" s="49"/>
      <c r="O174" s="50"/>
      <c r="P174" s="50"/>
      <c r="Q174" s="50"/>
      <c r="R174" s="581"/>
      <c r="S174" s="581"/>
      <c r="T174" s="581"/>
      <c r="U174" s="581"/>
      <c r="V174" s="581"/>
      <c r="W174" s="50"/>
      <c r="X174" s="342"/>
      <c r="Y174" s="48"/>
      <c r="Z174" s="323"/>
      <c r="AA174" s="48"/>
      <c r="AB174" s="48"/>
      <c r="AC174" s="48"/>
      <c r="AD174" s="48"/>
      <c r="AE174" s="48"/>
      <c r="AF174" s="51"/>
      <c r="AG174" s="14"/>
    </row>
    <row r="175" spans="1:33" ht="15" hidden="1" customHeight="1" thickBot="1">
      <c r="A175" s="79"/>
      <c r="B175" s="200"/>
      <c r="C175" s="333"/>
      <c r="D175" s="334"/>
      <c r="E175" s="334"/>
      <c r="F175" s="334"/>
      <c r="G175" s="334"/>
      <c r="H175" s="334"/>
      <c r="I175" s="334"/>
      <c r="J175" s="335"/>
      <c r="K175" s="334"/>
      <c r="L175" s="334"/>
      <c r="M175" s="334"/>
      <c r="N175" s="334"/>
      <c r="O175" s="334"/>
      <c r="P175" s="334"/>
      <c r="Q175" s="334"/>
      <c r="R175" s="334"/>
      <c r="S175" s="334"/>
      <c r="T175" s="334"/>
      <c r="U175" s="335"/>
      <c r="V175" s="334"/>
      <c r="W175" s="334"/>
      <c r="X175" s="335"/>
      <c r="Y175" s="334"/>
      <c r="Z175" s="336"/>
      <c r="AA175" s="334"/>
      <c r="AB175" s="334"/>
      <c r="AC175" s="334"/>
      <c r="AD175" s="334"/>
      <c r="AE175" s="334"/>
      <c r="AF175" s="337"/>
      <c r="AG175" s="79"/>
    </row>
    <row r="176" spans="1:33" ht="5.0999999999999996" customHeight="1" thickBot="1">
      <c r="A176" s="79"/>
      <c r="B176" s="200"/>
      <c r="C176" s="332"/>
      <c r="D176" s="197"/>
      <c r="E176" s="197"/>
      <c r="F176" s="197"/>
      <c r="G176" s="197"/>
      <c r="H176" s="197"/>
      <c r="I176" s="197"/>
      <c r="J176" s="330"/>
      <c r="K176" s="197"/>
      <c r="L176" s="197"/>
      <c r="M176" s="197"/>
      <c r="N176" s="197"/>
      <c r="O176" s="197"/>
      <c r="P176" s="197"/>
      <c r="Q176" s="197"/>
      <c r="R176" s="197"/>
      <c r="S176" s="197"/>
      <c r="T176" s="197"/>
      <c r="U176" s="330"/>
      <c r="V176" s="197"/>
      <c r="W176" s="197"/>
      <c r="X176" s="330"/>
      <c r="Y176" s="197"/>
      <c r="Z176" s="331"/>
      <c r="AA176" s="197"/>
      <c r="AB176" s="197"/>
      <c r="AC176" s="197"/>
      <c r="AD176" s="197"/>
      <c r="AE176" s="197"/>
      <c r="AF176" s="261"/>
      <c r="AG176" s="79"/>
    </row>
    <row r="177" spans="1:33" ht="15" hidden="1" customHeight="1" thickBot="1">
      <c r="A177" s="79"/>
      <c r="B177" s="200"/>
      <c r="C177" s="188"/>
      <c r="D177" s="189"/>
      <c r="E177" s="189"/>
      <c r="F177" s="189"/>
      <c r="G177" s="189"/>
      <c r="H177" s="189"/>
      <c r="I177" s="189"/>
      <c r="J177" s="325"/>
      <c r="K177" s="189"/>
      <c r="L177" s="189"/>
      <c r="M177" s="189"/>
      <c r="N177" s="189"/>
      <c r="O177" s="189"/>
      <c r="P177" s="189"/>
      <c r="Q177" s="189"/>
      <c r="R177" s="189"/>
      <c r="S177" s="189"/>
      <c r="T177" s="189"/>
      <c r="U177" s="325"/>
      <c r="V177" s="189"/>
      <c r="W177" s="189"/>
      <c r="X177" s="325"/>
      <c r="Y177" s="189"/>
      <c r="Z177" s="324"/>
      <c r="AA177" s="189"/>
      <c r="AB177" s="189"/>
      <c r="AC177" s="189"/>
      <c r="AD177" s="189"/>
      <c r="AE177" s="189"/>
      <c r="AF177" s="190"/>
      <c r="AG177" s="79"/>
    </row>
    <row r="178" spans="1:33" ht="29.1" customHeight="1">
      <c r="A178" s="597">
        <f>A166+1</f>
        <v>15</v>
      </c>
      <c r="B178" s="246">
        <f>B166+10</f>
        <v>151</v>
      </c>
      <c r="C178" s="591" t="str">
        <f>VLOOKUP(A178,INputs!$G$3:$O$22,7,FALSE)</f>
        <v>Please fill out Sensitivity Labels Tab</v>
      </c>
      <c r="D178" s="498"/>
      <c r="E178" s="498"/>
      <c r="F178" s="583" t="s">
        <v>141</v>
      </c>
      <c r="G178" s="583"/>
      <c r="H178" s="583" t="s">
        <v>141</v>
      </c>
      <c r="I178" s="583"/>
      <c r="J178" s="584" t="str">
        <f>J$10</f>
        <v>Select a check box</v>
      </c>
      <c r="K178" s="584"/>
      <c r="L178" s="584" t="s">
        <v>141</v>
      </c>
      <c r="M178" s="584"/>
      <c r="N178" s="584"/>
      <c r="O178" s="584" t="s">
        <v>141</v>
      </c>
      <c r="P178" s="584"/>
      <c r="Q178" s="584"/>
      <c r="R178" s="588" t="s">
        <v>198</v>
      </c>
      <c r="S178" s="588"/>
      <c r="T178" s="344" t="s">
        <v>140</v>
      </c>
      <c r="U178" s="589" t="s">
        <v>199</v>
      </c>
      <c r="V178" s="589"/>
      <c r="W178" s="42"/>
      <c r="X178" s="341"/>
      <c r="Y178" s="582" t="s">
        <v>141</v>
      </c>
      <c r="Z178" s="582"/>
      <c r="AA178" s="43"/>
      <c r="AB178" s="583"/>
      <c r="AC178" s="583"/>
      <c r="AD178" s="487"/>
      <c r="AE178" s="489" t="s">
        <v>200</v>
      </c>
      <c r="AF178" s="44"/>
      <c r="AG178" s="499"/>
    </row>
    <row r="179" spans="1:33">
      <c r="A179" s="598"/>
      <c r="B179" s="246">
        <f>B178+1</f>
        <v>152</v>
      </c>
      <c r="C179" s="592"/>
      <c r="D179" s="502"/>
      <c r="E179" s="502"/>
      <c r="F179" s="492"/>
      <c r="G179" s="492"/>
      <c r="H179" s="492"/>
      <c r="I179" s="492"/>
      <c r="J179" s="493"/>
      <c r="K179" s="493"/>
      <c r="L179" s="493"/>
      <c r="M179" s="493"/>
      <c r="N179" s="493"/>
      <c r="O179" s="493"/>
      <c r="P179" s="493"/>
      <c r="Q179" s="493"/>
      <c r="R179" s="581"/>
      <c r="S179" s="581"/>
      <c r="T179" s="581"/>
      <c r="U179" s="472"/>
      <c r="V179" s="491" t="s">
        <v>142</v>
      </c>
      <c r="W179" s="185"/>
      <c r="X179" s="343"/>
      <c r="Y179" s="488"/>
      <c r="Z179" s="488"/>
      <c r="AA179" s="499"/>
      <c r="AB179" s="492"/>
      <c r="AC179" s="468" t="s">
        <v>141</v>
      </c>
      <c r="AD179" s="492"/>
      <c r="AE179" s="579"/>
      <c r="AF179" s="46"/>
      <c r="AG179" s="499"/>
    </row>
    <row r="180" spans="1:33" ht="30.6">
      <c r="A180" s="598"/>
      <c r="B180" s="246">
        <f t="shared" ref="B180:B186" si="14">B179+1</f>
        <v>153</v>
      </c>
      <c r="C180" s="592"/>
      <c r="E180" s="171" t="b">
        <v>0</v>
      </c>
      <c r="F180" s="3" t="s">
        <v>201</v>
      </c>
      <c r="H180" s="171" t="b">
        <v>0</v>
      </c>
      <c r="I180" s="180" t="s">
        <v>202</v>
      </c>
      <c r="J180" s="172" t="b">
        <v>0</v>
      </c>
      <c r="K180" s="173" t="s">
        <v>203</v>
      </c>
      <c r="L180" s="174" t="b">
        <v>0</v>
      </c>
      <c r="M180" s="8" t="s">
        <v>204</v>
      </c>
      <c r="N180" s="182"/>
      <c r="O180" s="174" t="b">
        <v>0</v>
      </c>
      <c r="P180" s="8" t="s">
        <v>205</v>
      </c>
      <c r="Q180" s="8"/>
      <c r="R180" s="581"/>
      <c r="S180" s="581"/>
      <c r="T180" s="581"/>
      <c r="U180" s="581"/>
      <c r="V180" s="581"/>
      <c r="W180" s="185"/>
      <c r="X180" s="175" t="b">
        <v>0</v>
      </c>
      <c r="Y180" s="176" t="s">
        <v>206</v>
      </c>
      <c r="Z180" s="500"/>
      <c r="AA180" s="14"/>
      <c r="AB180" s="467" t="b">
        <v>0</v>
      </c>
      <c r="AC180" s="340" t="s">
        <v>207</v>
      </c>
      <c r="AD180" s="14"/>
      <c r="AE180" s="579"/>
      <c r="AF180" s="45"/>
      <c r="AG180" s="14"/>
    </row>
    <row r="181" spans="1:33" ht="35.1" customHeight="1">
      <c r="A181" s="598"/>
      <c r="B181" s="246">
        <f t="shared" si="14"/>
        <v>154</v>
      </c>
      <c r="C181" s="592"/>
      <c r="E181" s="171" t="b">
        <v>0</v>
      </c>
      <c r="F181" s="168" t="s">
        <v>208</v>
      </c>
      <c r="H181" s="14"/>
      <c r="I181" s="180"/>
      <c r="J181" s="175" t="b">
        <v>0</v>
      </c>
      <c r="K181" s="594" t="s">
        <v>209</v>
      </c>
      <c r="L181" s="175" t="b">
        <v>0</v>
      </c>
      <c r="M181" s="176" t="s">
        <v>210</v>
      </c>
      <c r="N181" s="338">
        <v>44197</v>
      </c>
      <c r="O181" s="175" t="b">
        <v>0</v>
      </c>
      <c r="P181" s="176" t="s">
        <v>204</v>
      </c>
      <c r="Q181" s="176"/>
      <c r="R181" s="174" t="b">
        <v>0</v>
      </c>
      <c r="S181" s="8" t="s">
        <v>211</v>
      </c>
      <c r="T181" s="8" t="s">
        <v>140</v>
      </c>
      <c r="U181" s="175" t="b">
        <v>0</v>
      </c>
      <c r="V181" s="491" t="s">
        <v>212</v>
      </c>
      <c r="W181" s="184"/>
      <c r="X181" s="175" t="b">
        <v>0</v>
      </c>
      <c r="Y181" s="176" t="s">
        <v>213</v>
      </c>
      <c r="Z181" s="500"/>
      <c r="AA181" s="14"/>
      <c r="AB181" s="186"/>
      <c r="AC181" s="492" t="s">
        <v>142</v>
      </c>
      <c r="AD181" s="179"/>
      <c r="AE181" s="493" t="s">
        <v>214</v>
      </c>
      <c r="AF181" s="46"/>
      <c r="AG181" s="14"/>
    </row>
    <row r="182" spans="1:33" ht="14.45" customHeight="1">
      <c r="A182" s="598"/>
      <c r="B182" s="246">
        <f t="shared" si="14"/>
        <v>155</v>
      </c>
      <c r="C182" s="592"/>
      <c r="E182" s="171" t="b">
        <v>0</v>
      </c>
      <c r="F182" s="595" t="s">
        <v>229</v>
      </c>
      <c r="H182" s="171" t="b">
        <v>0</v>
      </c>
      <c r="I182" s="180" t="s">
        <v>216</v>
      </c>
      <c r="J182" s="176"/>
      <c r="K182" s="594"/>
      <c r="L182" s="174" t="b">
        <v>0</v>
      </c>
      <c r="M182" s="39" t="s">
        <v>217</v>
      </c>
      <c r="N182" s="523">
        <v>6</v>
      </c>
      <c r="O182" s="174" t="b">
        <v>0</v>
      </c>
      <c r="P182" s="8" t="s">
        <v>217</v>
      </c>
      <c r="Q182" s="523">
        <v>0</v>
      </c>
      <c r="R182" s="581"/>
      <c r="S182" s="581"/>
      <c r="T182" s="581"/>
      <c r="U182" s="590" t="s">
        <v>141</v>
      </c>
      <c r="V182" s="590"/>
      <c r="W182" s="590"/>
      <c r="X182" s="175" t="b">
        <v>0</v>
      </c>
      <c r="Y182" s="8" t="s">
        <v>218</v>
      </c>
      <c r="Z182" s="581"/>
      <c r="AA182" s="14"/>
      <c r="AB182" s="186"/>
      <c r="AC182" s="20"/>
      <c r="AD182" s="14"/>
      <c r="AE182" s="580"/>
      <c r="AF182" s="45"/>
      <c r="AG182" s="14"/>
    </row>
    <row r="183" spans="1:33">
      <c r="A183" s="598"/>
      <c r="B183" s="246">
        <f t="shared" si="14"/>
        <v>156</v>
      </c>
      <c r="C183" s="592"/>
      <c r="F183" s="595"/>
      <c r="H183" s="14"/>
      <c r="I183" s="14"/>
      <c r="J183" s="176"/>
      <c r="K183" s="8"/>
      <c r="L183" s="14"/>
      <c r="M183" s="14"/>
      <c r="N183" s="187"/>
      <c r="O183" s="8"/>
      <c r="P183" s="8"/>
      <c r="Q183" s="8"/>
      <c r="R183" s="581"/>
      <c r="S183" s="581"/>
      <c r="T183" s="581"/>
      <c r="U183" s="175" t="b">
        <v>0</v>
      </c>
      <c r="V183" s="176" t="s">
        <v>219</v>
      </c>
      <c r="W183" s="185"/>
      <c r="Y183" s="14"/>
      <c r="Z183" s="581"/>
      <c r="AA183" s="14"/>
      <c r="AB183" s="14"/>
      <c r="AC183" s="14"/>
      <c r="AD183" s="14"/>
      <c r="AE183" s="580"/>
      <c r="AF183" s="45"/>
      <c r="AG183" s="14"/>
    </row>
    <row r="184" spans="1:33" ht="30" customHeight="1">
      <c r="A184" s="598"/>
      <c r="B184" s="246">
        <f t="shared" si="14"/>
        <v>157</v>
      </c>
      <c r="C184" s="592"/>
      <c r="E184"/>
      <c r="H184" s="14"/>
      <c r="I184" s="14"/>
      <c r="J184" s="326"/>
      <c r="K184" s="182"/>
      <c r="L184" s="182"/>
      <c r="M184" s="182"/>
      <c r="N184" s="182"/>
      <c r="O184" s="8"/>
      <c r="P184" s="8"/>
      <c r="Q184" s="8"/>
      <c r="R184" s="174" t="b">
        <v>0</v>
      </c>
      <c r="S184" s="8" t="s">
        <v>220</v>
      </c>
      <c r="T184" s="8" t="s">
        <v>140</v>
      </c>
      <c r="U184" s="581"/>
      <c r="V184" s="581"/>
      <c r="Y184" s="14"/>
      <c r="Z184" s="322"/>
      <c r="AA184" s="14"/>
      <c r="AB184" s="14"/>
      <c r="AC184" s="14"/>
      <c r="AD184" s="14"/>
      <c r="AE184" s="14"/>
      <c r="AF184" s="45"/>
      <c r="AG184" s="14"/>
    </row>
    <row r="185" spans="1:33">
      <c r="A185" s="598"/>
      <c r="B185" s="246">
        <f t="shared" si="14"/>
        <v>158</v>
      </c>
      <c r="C185" s="592"/>
      <c r="E185"/>
      <c r="H185" s="181"/>
      <c r="I185" s="14"/>
      <c r="J185" s="326"/>
      <c r="K185" s="182"/>
      <c r="L185" s="182"/>
      <c r="M185" s="182"/>
      <c r="N185" s="182"/>
      <c r="O185" s="8"/>
      <c r="P185" s="8"/>
      <c r="Q185" s="8"/>
      <c r="R185" s="581"/>
      <c r="S185" s="581"/>
      <c r="T185" s="581"/>
      <c r="U185" s="175" t="b">
        <v>0</v>
      </c>
      <c r="V185" s="8" t="s">
        <v>221</v>
      </c>
      <c r="W185" s="8"/>
      <c r="Y185" s="14"/>
      <c r="Z185" s="322"/>
      <c r="AA185" s="14"/>
      <c r="AB185" s="14"/>
      <c r="AC185" s="14"/>
      <c r="AD185" s="14"/>
      <c r="AE185" s="14"/>
      <c r="AF185" s="45"/>
      <c r="AG185" s="14"/>
    </row>
    <row r="186" spans="1:33" ht="30" customHeight="1" thickBot="1">
      <c r="A186" s="599"/>
      <c r="B186" s="246">
        <f t="shared" si="14"/>
        <v>159</v>
      </c>
      <c r="C186" s="593"/>
      <c r="D186" s="47"/>
      <c r="E186" s="47"/>
      <c r="F186" s="47"/>
      <c r="G186" s="47"/>
      <c r="H186" s="48"/>
      <c r="I186" s="48"/>
      <c r="J186" s="327"/>
      <c r="K186" s="49"/>
      <c r="L186" s="49"/>
      <c r="M186" s="49"/>
      <c r="N186" s="49"/>
      <c r="O186" s="50"/>
      <c r="P186" s="50"/>
      <c r="Q186" s="50"/>
      <c r="R186" s="581"/>
      <c r="S186" s="581"/>
      <c r="T186" s="581"/>
      <c r="U186" s="581"/>
      <c r="V186" s="581"/>
      <c r="W186" s="50"/>
      <c r="X186" s="342"/>
      <c r="Y186" s="48"/>
      <c r="Z186" s="323"/>
      <c r="AA186" s="48"/>
      <c r="AB186" s="48"/>
      <c r="AC186" s="48"/>
      <c r="AD186" s="48"/>
      <c r="AE186" s="48"/>
      <c r="AF186" s="51"/>
      <c r="AG186" s="14"/>
    </row>
    <row r="187" spans="1:33" ht="15" hidden="1" customHeight="1" thickBot="1">
      <c r="A187" s="79"/>
      <c r="B187" s="200"/>
      <c r="C187" s="333"/>
      <c r="D187" s="334"/>
      <c r="E187" s="334"/>
      <c r="F187" s="334"/>
      <c r="G187" s="334"/>
      <c r="H187" s="334"/>
      <c r="I187" s="334"/>
      <c r="J187" s="335"/>
      <c r="K187" s="334"/>
      <c r="L187" s="334"/>
      <c r="M187" s="334"/>
      <c r="N187" s="334"/>
      <c r="O187" s="334"/>
      <c r="P187" s="334"/>
      <c r="Q187" s="334"/>
      <c r="R187" s="334"/>
      <c r="S187" s="334"/>
      <c r="T187" s="334"/>
      <c r="U187" s="335"/>
      <c r="V187" s="334"/>
      <c r="W187" s="334"/>
      <c r="X187" s="335"/>
      <c r="Y187" s="334"/>
      <c r="Z187" s="336"/>
      <c r="AA187" s="334"/>
      <c r="AB187" s="334"/>
      <c r="AC187" s="334"/>
      <c r="AD187" s="334"/>
      <c r="AE187" s="334"/>
      <c r="AF187" s="337"/>
      <c r="AG187" s="79"/>
    </row>
    <row r="188" spans="1:33" ht="5.0999999999999996" customHeight="1" thickBot="1">
      <c r="A188" s="79"/>
      <c r="B188" s="200"/>
      <c r="C188" s="332"/>
      <c r="D188" s="197"/>
      <c r="E188" s="197"/>
      <c r="F188" s="197"/>
      <c r="G188" s="197"/>
      <c r="H188" s="197"/>
      <c r="I188" s="197"/>
      <c r="J188" s="330"/>
      <c r="K188" s="197"/>
      <c r="L188" s="197"/>
      <c r="M188" s="197"/>
      <c r="N188" s="197"/>
      <c r="O188" s="197"/>
      <c r="P188" s="197"/>
      <c r="Q188" s="197"/>
      <c r="R188" s="197"/>
      <c r="S188" s="197"/>
      <c r="T188" s="197"/>
      <c r="U188" s="330"/>
      <c r="V188" s="197"/>
      <c r="W188" s="197"/>
      <c r="X188" s="330"/>
      <c r="Y188" s="197"/>
      <c r="Z188" s="331"/>
      <c r="AA188" s="197"/>
      <c r="AB188" s="197"/>
      <c r="AC188" s="197"/>
      <c r="AD188" s="197"/>
      <c r="AE188" s="197"/>
      <c r="AF188" s="261"/>
      <c r="AG188" s="79"/>
    </row>
    <row r="189" spans="1:33" ht="15" hidden="1" customHeight="1" thickBot="1">
      <c r="A189" s="79"/>
      <c r="B189" s="200"/>
      <c r="C189" s="188"/>
      <c r="D189" s="189"/>
      <c r="E189" s="189"/>
      <c r="F189" s="189"/>
      <c r="G189" s="189"/>
      <c r="H189" s="189"/>
      <c r="I189" s="189"/>
      <c r="J189" s="325"/>
      <c r="K189" s="189"/>
      <c r="L189" s="189"/>
      <c r="M189" s="189"/>
      <c r="N189" s="189"/>
      <c r="O189" s="189"/>
      <c r="P189" s="189"/>
      <c r="Q189" s="189"/>
      <c r="R189" s="189"/>
      <c r="S189" s="189"/>
      <c r="T189" s="189"/>
      <c r="U189" s="325"/>
      <c r="V189" s="189"/>
      <c r="W189" s="189"/>
      <c r="X189" s="325"/>
      <c r="Y189" s="189"/>
      <c r="Z189" s="324"/>
      <c r="AA189" s="189"/>
      <c r="AB189" s="189"/>
      <c r="AC189" s="189"/>
      <c r="AD189" s="189"/>
      <c r="AE189" s="189"/>
      <c r="AF189" s="190"/>
      <c r="AG189" s="79"/>
    </row>
    <row r="190" spans="1:33" ht="29.1" customHeight="1">
      <c r="A190" s="597">
        <f>A178+1</f>
        <v>16</v>
      </c>
      <c r="B190" s="246">
        <f>B178+10</f>
        <v>161</v>
      </c>
      <c r="C190" s="591" t="str">
        <f>VLOOKUP(A190,INputs!$G$3:$O$22,7,FALSE)</f>
        <v>Please fill out Sensitivity Labels Tab</v>
      </c>
      <c r="D190" s="498"/>
      <c r="E190" s="498"/>
      <c r="F190" s="583" t="s">
        <v>141</v>
      </c>
      <c r="G190" s="583"/>
      <c r="H190" s="583" t="s">
        <v>141</v>
      </c>
      <c r="I190" s="583"/>
      <c r="J190" s="584" t="str">
        <f>J$10</f>
        <v>Select a check box</v>
      </c>
      <c r="K190" s="584"/>
      <c r="L190" s="584" t="s">
        <v>141</v>
      </c>
      <c r="M190" s="584"/>
      <c r="N190" s="584"/>
      <c r="O190" s="584" t="s">
        <v>141</v>
      </c>
      <c r="P190" s="584"/>
      <c r="Q190" s="584"/>
      <c r="R190" s="588" t="s">
        <v>198</v>
      </c>
      <c r="S190" s="588"/>
      <c r="T190" s="344" t="s">
        <v>140</v>
      </c>
      <c r="U190" s="589" t="s">
        <v>199</v>
      </c>
      <c r="V190" s="589"/>
      <c r="W190" s="42"/>
      <c r="X190" s="341"/>
      <c r="Y190" s="582" t="s">
        <v>141</v>
      </c>
      <c r="Z190" s="582"/>
      <c r="AA190" s="43"/>
      <c r="AB190" s="583"/>
      <c r="AC190" s="583"/>
      <c r="AD190" s="487"/>
      <c r="AE190" s="489" t="s">
        <v>200</v>
      </c>
      <c r="AF190" s="44"/>
      <c r="AG190" s="499"/>
    </row>
    <row r="191" spans="1:33">
      <c r="A191" s="598"/>
      <c r="B191" s="246">
        <f>B190+1</f>
        <v>162</v>
      </c>
      <c r="C191" s="592"/>
      <c r="D191" s="502"/>
      <c r="E191" s="502"/>
      <c r="F191" s="492"/>
      <c r="G191" s="492"/>
      <c r="H191" s="492"/>
      <c r="I191" s="492"/>
      <c r="J191" s="493"/>
      <c r="K191" s="493"/>
      <c r="L191" s="493"/>
      <c r="M191" s="493"/>
      <c r="N191" s="493"/>
      <c r="O191" s="493"/>
      <c r="P191" s="493"/>
      <c r="Q191" s="493"/>
      <c r="R191" s="581"/>
      <c r="S191" s="581"/>
      <c r="T191" s="581"/>
      <c r="U191" s="472"/>
      <c r="V191" s="491" t="s">
        <v>142</v>
      </c>
      <c r="W191" s="185"/>
      <c r="X191" s="343"/>
      <c r="Y191" s="488"/>
      <c r="Z191" s="488"/>
      <c r="AA191" s="499"/>
      <c r="AB191" s="492"/>
      <c r="AC191" s="468" t="s">
        <v>141</v>
      </c>
      <c r="AD191" s="492"/>
      <c r="AE191" s="579"/>
      <c r="AF191" s="46"/>
      <c r="AG191" s="499"/>
    </row>
    <row r="192" spans="1:33" ht="30.6">
      <c r="A192" s="598"/>
      <c r="B192" s="246">
        <f t="shared" ref="B192:B198" si="15">B191+1</f>
        <v>163</v>
      </c>
      <c r="C192" s="592"/>
      <c r="E192" s="171" t="b">
        <v>0</v>
      </c>
      <c r="F192" s="3" t="s">
        <v>201</v>
      </c>
      <c r="H192" s="171" t="b">
        <v>0</v>
      </c>
      <c r="I192" s="180" t="s">
        <v>202</v>
      </c>
      <c r="J192" s="172" t="b">
        <v>0</v>
      </c>
      <c r="K192" s="173" t="s">
        <v>203</v>
      </c>
      <c r="L192" s="174" t="b">
        <v>0</v>
      </c>
      <c r="M192" s="8" t="s">
        <v>204</v>
      </c>
      <c r="N192" s="182"/>
      <c r="O192" s="174" t="b">
        <v>0</v>
      </c>
      <c r="P192" s="8" t="s">
        <v>205</v>
      </c>
      <c r="Q192" s="8"/>
      <c r="R192" s="581"/>
      <c r="S192" s="581"/>
      <c r="T192" s="581"/>
      <c r="U192" s="581"/>
      <c r="V192" s="581"/>
      <c r="W192" s="185"/>
      <c r="X192" s="175" t="b">
        <v>0</v>
      </c>
      <c r="Y192" s="176" t="s">
        <v>206</v>
      </c>
      <c r="Z192" s="500"/>
      <c r="AA192" s="14"/>
      <c r="AB192" s="467" t="b">
        <v>0</v>
      </c>
      <c r="AC192" s="340" t="s">
        <v>207</v>
      </c>
      <c r="AD192" s="14"/>
      <c r="AE192" s="579"/>
      <c r="AF192" s="45"/>
      <c r="AG192" s="14"/>
    </row>
    <row r="193" spans="1:33" ht="35.1" customHeight="1">
      <c r="A193" s="598"/>
      <c r="B193" s="246">
        <f t="shared" si="15"/>
        <v>164</v>
      </c>
      <c r="C193" s="592"/>
      <c r="E193" s="171" t="b">
        <v>0</v>
      </c>
      <c r="F193" s="168" t="s">
        <v>208</v>
      </c>
      <c r="H193" s="14"/>
      <c r="I193" s="180"/>
      <c r="J193" s="175" t="b">
        <v>0</v>
      </c>
      <c r="K193" s="594" t="s">
        <v>209</v>
      </c>
      <c r="L193" s="175" t="b">
        <v>0</v>
      </c>
      <c r="M193" s="176" t="s">
        <v>210</v>
      </c>
      <c r="N193" s="338">
        <v>44197</v>
      </c>
      <c r="O193" s="175" t="b">
        <v>0</v>
      </c>
      <c r="P193" s="176" t="s">
        <v>204</v>
      </c>
      <c r="Q193" s="176"/>
      <c r="R193" s="174" t="b">
        <v>0</v>
      </c>
      <c r="S193" s="8" t="s">
        <v>211</v>
      </c>
      <c r="T193" s="8" t="s">
        <v>140</v>
      </c>
      <c r="U193" s="175" t="b">
        <v>0</v>
      </c>
      <c r="V193" s="491" t="s">
        <v>212</v>
      </c>
      <c r="W193" s="184"/>
      <c r="X193" s="175" t="b">
        <v>0</v>
      </c>
      <c r="Y193" s="176" t="s">
        <v>213</v>
      </c>
      <c r="Z193" s="500"/>
      <c r="AA193" s="14"/>
      <c r="AB193" s="186"/>
      <c r="AC193" s="492" t="s">
        <v>142</v>
      </c>
      <c r="AD193" s="179"/>
      <c r="AE193" s="493" t="s">
        <v>214</v>
      </c>
      <c r="AF193" s="46"/>
      <c r="AG193" s="14"/>
    </row>
    <row r="194" spans="1:33" ht="14.45" customHeight="1">
      <c r="A194" s="598"/>
      <c r="B194" s="246">
        <f t="shared" si="15"/>
        <v>165</v>
      </c>
      <c r="C194" s="592"/>
      <c r="E194" s="171" t="b">
        <v>0</v>
      </c>
      <c r="F194" s="595" t="s">
        <v>229</v>
      </c>
      <c r="H194" s="171" t="b">
        <v>0</v>
      </c>
      <c r="I194" s="180" t="s">
        <v>216</v>
      </c>
      <c r="J194" s="176"/>
      <c r="K194" s="594"/>
      <c r="L194" s="174" t="b">
        <v>0</v>
      </c>
      <c r="M194" s="39" t="s">
        <v>217</v>
      </c>
      <c r="N194" s="523">
        <v>6</v>
      </c>
      <c r="O194" s="174" t="b">
        <v>0</v>
      </c>
      <c r="P194" s="8" t="s">
        <v>217</v>
      </c>
      <c r="Q194" s="523">
        <v>0</v>
      </c>
      <c r="R194" s="581"/>
      <c r="S194" s="581"/>
      <c r="T194" s="581"/>
      <c r="U194" s="590" t="s">
        <v>141</v>
      </c>
      <c r="V194" s="590"/>
      <c r="W194" s="590"/>
      <c r="X194" s="175" t="b">
        <v>0</v>
      </c>
      <c r="Y194" s="8" t="s">
        <v>218</v>
      </c>
      <c r="Z194" s="581"/>
      <c r="AA194" s="14"/>
      <c r="AB194" s="186"/>
      <c r="AC194" s="20"/>
      <c r="AD194" s="14"/>
      <c r="AE194" s="580"/>
      <c r="AF194" s="45"/>
      <c r="AG194" s="14"/>
    </row>
    <row r="195" spans="1:33">
      <c r="A195" s="598"/>
      <c r="B195" s="246">
        <f t="shared" si="15"/>
        <v>166</v>
      </c>
      <c r="C195" s="592"/>
      <c r="F195" s="595"/>
      <c r="H195" s="14"/>
      <c r="I195" s="14"/>
      <c r="J195" s="176"/>
      <c r="K195" s="8"/>
      <c r="L195" s="14"/>
      <c r="M195" s="14"/>
      <c r="N195" s="187"/>
      <c r="O195" s="8"/>
      <c r="P195" s="8"/>
      <c r="Q195" s="8"/>
      <c r="R195" s="581"/>
      <c r="S195" s="581"/>
      <c r="T195" s="581"/>
      <c r="U195" s="175" t="b">
        <v>0</v>
      </c>
      <c r="V195" s="176" t="s">
        <v>219</v>
      </c>
      <c r="W195" s="185"/>
      <c r="Y195" s="14"/>
      <c r="Z195" s="581"/>
      <c r="AA195" s="14"/>
      <c r="AB195" s="14"/>
      <c r="AC195" s="14"/>
      <c r="AD195" s="14"/>
      <c r="AE195" s="580"/>
      <c r="AF195" s="45"/>
      <c r="AG195" s="14"/>
    </row>
    <row r="196" spans="1:33" ht="30" customHeight="1">
      <c r="A196" s="598"/>
      <c r="B196" s="246">
        <f t="shared" si="15"/>
        <v>167</v>
      </c>
      <c r="C196" s="592"/>
      <c r="E196"/>
      <c r="H196" s="14"/>
      <c r="I196" s="14"/>
      <c r="J196" s="326"/>
      <c r="K196" s="182"/>
      <c r="L196" s="182"/>
      <c r="M196" s="182"/>
      <c r="N196" s="182"/>
      <c r="O196" s="8"/>
      <c r="P196" s="8"/>
      <c r="Q196" s="8"/>
      <c r="R196" s="174" t="b">
        <v>0</v>
      </c>
      <c r="S196" s="8" t="s">
        <v>220</v>
      </c>
      <c r="T196" s="8" t="s">
        <v>140</v>
      </c>
      <c r="U196" s="581"/>
      <c r="V196" s="581"/>
      <c r="Y196" s="14"/>
      <c r="Z196" s="322"/>
      <c r="AA196" s="14"/>
      <c r="AB196" s="14"/>
      <c r="AC196" s="14"/>
      <c r="AD196" s="14"/>
      <c r="AE196" s="14"/>
      <c r="AF196" s="45"/>
      <c r="AG196" s="14"/>
    </row>
    <row r="197" spans="1:33">
      <c r="A197" s="598"/>
      <c r="B197" s="246">
        <f t="shared" si="15"/>
        <v>168</v>
      </c>
      <c r="C197" s="592"/>
      <c r="E197"/>
      <c r="H197" s="181"/>
      <c r="I197" s="14"/>
      <c r="J197" s="326"/>
      <c r="K197" s="182"/>
      <c r="L197" s="182"/>
      <c r="M197" s="182"/>
      <c r="N197" s="182"/>
      <c r="O197" s="8"/>
      <c r="P197" s="8"/>
      <c r="Q197" s="8"/>
      <c r="R197" s="581"/>
      <c r="S197" s="581"/>
      <c r="T197" s="581"/>
      <c r="U197" s="175" t="b">
        <v>0</v>
      </c>
      <c r="V197" s="8" t="s">
        <v>221</v>
      </c>
      <c r="W197" s="8"/>
      <c r="Y197" s="14"/>
      <c r="Z197" s="322"/>
      <c r="AA197" s="14"/>
      <c r="AB197" s="14"/>
      <c r="AC197" s="14"/>
      <c r="AD197" s="14"/>
      <c r="AE197" s="14"/>
      <c r="AF197" s="45"/>
      <c r="AG197" s="14"/>
    </row>
    <row r="198" spans="1:33" ht="30" customHeight="1" thickBot="1">
      <c r="A198" s="599"/>
      <c r="B198" s="246">
        <f t="shared" si="15"/>
        <v>169</v>
      </c>
      <c r="C198" s="593"/>
      <c r="D198" s="47"/>
      <c r="E198" s="47"/>
      <c r="F198" s="47"/>
      <c r="G198" s="47"/>
      <c r="H198" s="48"/>
      <c r="I198" s="48"/>
      <c r="J198" s="327"/>
      <c r="K198" s="49"/>
      <c r="L198" s="49"/>
      <c r="M198" s="49"/>
      <c r="N198" s="49"/>
      <c r="O198" s="50"/>
      <c r="P198" s="50"/>
      <c r="Q198" s="50"/>
      <c r="R198" s="581"/>
      <c r="S198" s="581"/>
      <c r="T198" s="581"/>
      <c r="U198" s="581"/>
      <c r="V198" s="581"/>
      <c r="W198" s="50"/>
      <c r="X198" s="342"/>
      <c r="Y198" s="48"/>
      <c r="Z198" s="323"/>
      <c r="AA198" s="48"/>
      <c r="AB198" s="48"/>
      <c r="AC198" s="48"/>
      <c r="AD198" s="48"/>
      <c r="AE198" s="48"/>
      <c r="AF198" s="51"/>
      <c r="AG198" s="14"/>
    </row>
    <row r="199" spans="1:33" ht="15" hidden="1" customHeight="1" thickBot="1">
      <c r="A199" s="79"/>
      <c r="B199" s="200"/>
      <c r="C199" s="333"/>
      <c r="D199" s="334"/>
      <c r="E199" s="334"/>
      <c r="F199" s="334"/>
      <c r="G199" s="334"/>
      <c r="H199" s="334"/>
      <c r="I199" s="334"/>
      <c r="J199" s="335"/>
      <c r="K199" s="334"/>
      <c r="L199" s="334"/>
      <c r="M199" s="334"/>
      <c r="N199" s="334"/>
      <c r="O199" s="334"/>
      <c r="P199" s="334"/>
      <c r="Q199" s="334"/>
      <c r="R199" s="334"/>
      <c r="S199" s="334"/>
      <c r="T199" s="334"/>
      <c r="U199" s="335"/>
      <c r="V199" s="334"/>
      <c r="W199" s="334"/>
      <c r="X199" s="335"/>
      <c r="Y199" s="334"/>
      <c r="Z199" s="336"/>
      <c r="AA199" s="334"/>
      <c r="AB199" s="334"/>
      <c r="AC199" s="334"/>
      <c r="AD199" s="334"/>
      <c r="AE199" s="334"/>
      <c r="AF199" s="337"/>
      <c r="AG199" s="79"/>
    </row>
    <row r="200" spans="1:33" ht="5.0999999999999996" customHeight="1" thickBot="1">
      <c r="A200" s="79"/>
      <c r="B200" s="200"/>
      <c r="C200" s="332"/>
      <c r="D200" s="197"/>
      <c r="E200" s="197"/>
      <c r="F200" s="197"/>
      <c r="G200" s="197"/>
      <c r="H200" s="197"/>
      <c r="I200" s="197"/>
      <c r="J200" s="330"/>
      <c r="K200" s="197"/>
      <c r="L200" s="197"/>
      <c r="M200" s="197"/>
      <c r="N200" s="197"/>
      <c r="O200" s="197"/>
      <c r="P200" s="197"/>
      <c r="Q200" s="197"/>
      <c r="R200" s="197"/>
      <c r="S200" s="197"/>
      <c r="T200" s="197"/>
      <c r="U200" s="330"/>
      <c r="V200" s="197"/>
      <c r="W200" s="197"/>
      <c r="X200" s="330"/>
      <c r="Y200" s="197"/>
      <c r="Z200" s="331"/>
      <c r="AA200" s="197"/>
      <c r="AB200" s="197"/>
      <c r="AC200" s="197"/>
      <c r="AD200" s="197"/>
      <c r="AE200" s="197"/>
      <c r="AF200" s="261"/>
      <c r="AG200" s="79"/>
    </row>
    <row r="201" spans="1:33" ht="15" hidden="1" customHeight="1" thickBot="1">
      <c r="A201" s="79"/>
      <c r="B201" s="200"/>
      <c r="C201" s="188"/>
      <c r="D201" s="189"/>
      <c r="E201" s="189"/>
      <c r="F201" s="189"/>
      <c r="G201" s="189"/>
      <c r="H201" s="189"/>
      <c r="I201" s="189"/>
      <c r="J201" s="325"/>
      <c r="K201" s="189"/>
      <c r="L201" s="189"/>
      <c r="M201" s="189"/>
      <c r="N201" s="189"/>
      <c r="O201" s="189"/>
      <c r="P201" s="189"/>
      <c r="Q201" s="189"/>
      <c r="R201" s="189"/>
      <c r="S201" s="189"/>
      <c r="T201" s="189"/>
      <c r="U201" s="325"/>
      <c r="V201" s="189"/>
      <c r="W201" s="189"/>
      <c r="X201" s="325"/>
      <c r="Y201" s="189"/>
      <c r="Z201" s="324"/>
      <c r="AA201" s="189"/>
      <c r="AB201" s="189"/>
      <c r="AC201" s="189"/>
      <c r="AD201" s="189"/>
      <c r="AE201" s="189"/>
      <c r="AF201" s="190"/>
      <c r="AG201" s="79"/>
    </row>
    <row r="202" spans="1:33" ht="29.1" customHeight="1">
      <c r="A202" s="597">
        <f>A190+1</f>
        <v>17</v>
      </c>
      <c r="B202" s="246">
        <f>B190+10</f>
        <v>171</v>
      </c>
      <c r="C202" s="591" t="str">
        <f>VLOOKUP(A202,INputs!$G$3:$O$22,7,FALSE)</f>
        <v>Please fill out Sensitivity Labels Tab</v>
      </c>
      <c r="D202" s="498"/>
      <c r="E202" s="498"/>
      <c r="F202" s="583" t="s">
        <v>141</v>
      </c>
      <c r="G202" s="583"/>
      <c r="H202" s="583" t="s">
        <v>141</v>
      </c>
      <c r="I202" s="583"/>
      <c r="J202" s="584" t="str">
        <f>J$10</f>
        <v>Select a check box</v>
      </c>
      <c r="K202" s="584"/>
      <c r="L202" s="584" t="s">
        <v>141</v>
      </c>
      <c r="M202" s="584"/>
      <c r="N202" s="584"/>
      <c r="O202" s="584" t="s">
        <v>141</v>
      </c>
      <c r="P202" s="584"/>
      <c r="Q202" s="584"/>
      <c r="R202" s="588" t="s">
        <v>198</v>
      </c>
      <c r="S202" s="588"/>
      <c r="T202" s="344" t="s">
        <v>140</v>
      </c>
      <c r="U202" s="589" t="s">
        <v>199</v>
      </c>
      <c r="V202" s="589"/>
      <c r="W202" s="42"/>
      <c r="X202" s="341"/>
      <c r="Y202" s="582" t="s">
        <v>141</v>
      </c>
      <c r="Z202" s="582"/>
      <c r="AA202" s="43"/>
      <c r="AB202" s="583"/>
      <c r="AC202" s="583"/>
      <c r="AD202" s="487"/>
      <c r="AE202" s="489" t="s">
        <v>200</v>
      </c>
      <c r="AF202" s="44"/>
      <c r="AG202" s="499"/>
    </row>
    <row r="203" spans="1:33">
      <c r="A203" s="598"/>
      <c r="B203" s="246">
        <f>B202+1</f>
        <v>172</v>
      </c>
      <c r="C203" s="592"/>
      <c r="D203" s="502"/>
      <c r="E203" s="502"/>
      <c r="F203" s="492"/>
      <c r="G203" s="492"/>
      <c r="H203" s="492"/>
      <c r="I203" s="492"/>
      <c r="J203" s="493"/>
      <c r="K203" s="493"/>
      <c r="L203" s="493"/>
      <c r="M203" s="493"/>
      <c r="N203" s="493"/>
      <c r="O203" s="493"/>
      <c r="P203" s="493"/>
      <c r="Q203" s="493"/>
      <c r="R203" s="581"/>
      <c r="S203" s="581"/>
      <c r="T203" s="581"/>
      <c r="U203" s="472"/>
      <c r="V203" s="491" t="s">
        <v>142</v>
      </c>
      <c r="W203" s="185"/>
      <c r="X203" s="343"/>
      <c r="Y203" s="488"/>
      <c r="Z203" s="488"/>
      <c r="AA203" s="499"/>
      <c r="AB203" s="492"/>
      <c r="AC203" s="468" t="s">
        <v>141</v>
      </c>
      <c r="AD203" s="492"/>
      <c r="AE203" s="579"/>
      <c r="AF203" s="46"/>
      <c r="AG203" s="499"/>
    </row>
    <row r="204" spans="1:33" ht="30.6">
      <c r="A204" s="598"/>
      <c r="B204" s="246">
        <f t="shared" ref="B204:B210" si="16">B203+1</f>
        <v>173</v>
      </c>
      <c r="C204" s="592"/>
      <c r="E204" s="171" t="b">
        <v>0</v>
      </c>
      <c r="F204" s="3" t="s">
        <v>201</v>
      </c>
      <c r="H204" s="171" t="b">
        <v>0</v>
      </c>
      <c r="I204" s="180" t="s">
        <v>202</v>
      </c>
      <c r="J204" s="172" t="b">
        <v>0</v>
      </c>
      <c r="K204" s="173" t="s">
        <v>203</v>
      </c>
      <c r="L204" s="174" t="b">
        <v>0</v>
      </c>
      <c r="M204" s="8" t="s">
        <v>204</v>
      </c>
      <c r="N204" s="182"/>
      <c r="O204" s="174" t="b">
        <v>0</v>
      </c>
      <c r="P204" s="8" t="s">
        <v>205</v>
      </c>
      <c r="Q204" s="8"/>
      <c r="R204" s="581"/>
      <c r="S204" s="581"/>
      <c r="T204" s="581"/>
      <c r="U204" s="581"/>
      <c r="V204" s="581"/>
      <c r="W204" s="185"/>
      <c r="X204" s="175" t="b">
        <v>0</v>
      </c>
      <c r="Y204" s="176" t="s">
        <v>206</v>
      </c>
      <c r="Z204" s="500"/>
      <c r="AA204" s="14"/>
      <c r="AB204" s="467" t="b">
        <v>0</v>
      </c>
      <c r="AC204" s="340" t="s">
        <v>207</v>
      </c>
      <c r="AD204" s="14"/>
      <c r="AE204" s="579"/>
      <c r="AF204" s="45"/>
      <c r="AG204" s="14"/>
    </row>
    <row r="205" spans="1:33" ht="35.1" customHeight="1">
      <c r="A205" s="598"/>
      <c r="B205" s="246">
        <f t="shared" si="16"/>
        <v>174</v>
      </c>
      <c r="C205" s="592"/>
      <c r="E205" s="171" t="b">
        <v>0</v>
      </c>
      <c r="F205" s="168" t="s">
        <v>208</v>
      </c>
      <c r="H205" s="14"/>
      <c r="I205" s="180"/>
      <c r="J205" s="175" t="b">
        <v>0</v>
      </c>
      <c r="K205" s="594" t="s">
        <v>209</v>
      </c>
      <c r="L205" s="175" t="b">
        <v>0</v>
      </c>
      <c r="M205" s="176" t="s">
        <v>210</v>
      </c>
      <c r="N205" s="338">
        <v>44197</v>
      </c>
      <c r="O205" s="175" t="b">
        <v>0</v>
      </c>
      <c r="P205" s="176" t="s">
        <v>204</v>
      </c>
      <c r="Q205" s="176"/>
      <c r="R205" s="174" t="b">
        <v>0</v>
      </c>
      <c r="S205" s="8" t="s">
        <v>211</v>
      </c>
      <c r="T205" s="8" t="s">
        <v>140</v>
      </c>
      <c r="U205" s="175" t="b">
        <v>0</v>
      </c>
      <c r="V205" s="491" t="s">
        <v>212</v>
      </c>
      <c r="W205" s="184"/>
      <c r="X205" s="175" t="b">
        <v>0</v>
      </c>
      <c r="Y205" s="176" t="s">
        <v>213</v>
      </c>
      <c r="Z205" s="500"/>
      <c r="AA205" s="14"/>
      <c r="AB205" s="186"/>
      <c r="AC205" s="492" t="s">
        <v>142</v>
      </c>
      <c r="AD205" s="179"/>
      <c r="AE205" s="493" t="s">
        <v>214</v>
      </c>
      <c r="AF205" s="46"/>
      <c r="AG205" s="14"/>
    </row>
    <row r="206" spans="1:33" ht="14.45" customHeight="1">
      <c r="A206" s="598"/>
      <c r="B206" s="246">
        <f t="shared" si="16"/>
        <v>175</v>
      </c>
      <c r="C206" s="592"/>
      <c r="E206" s="171" t="b">
        <v>0</v>
      </c>
      <c r="F206" s="595" t="s">
        <v>229</v>
      </c>
      <c r="H206" s="171" t="b">
        <v>0</v>
      </c>
      <c r="I206" s="180" t="s">
        <v>216</v>
      </c>
      <c r="J206" s="176"/>
      <c r="K206" s="594"/>
      <c r="L206" s="174" t="b">
        <v>0</v>
      </c>
      <c r="M206" s="39" t="s">
        <v>217</v>
      </c>
      <c r="N206" s="523">
        <v>6</v>
      </c>
      <c r="O206" s="174" t="b">
        <v>0</v>
      </c>
      <c r="P206" s="8" t="s">
        <v>217</v>
      </c>
      <c r="Q206" s="523">
        <v>0</v>
      </c>
      <c r="R206" s="581"/>
      <c r="S206" s="581"/>
      <c r="T206" s="581"/>
      <c r="U206" s="590" t="s">
        <v>141</v>
      </c>
      <c r="V206" s="590"/>
      <c r="W206" s="590"/>
      <c r="X206" s="175" t="b">
        <v>0</v>
      </c>
      <c r="Y206" s="8" t="s">
        <v>218</v>
      </c>
      <c r="Z206" s="581"/>
      <c r="AA206" s="14"/>
      <c r="AB206" s="186"/>
      <c r="AC206" s="20"/>
      <c r="AD206" s="14"/>
      <c r="AE206" s="580"/>
      <c r="AF206" s="45"/>
      <c r="AG206" s="14"/>
    </row>
    <row r="207" spans="1:33">
      <c r="A207" s="598"/>
      <c r="B207" s="246">
        <f t="shared" si="16"/>
        <v>176</v>
      </c>
      <c r="C207" s="592"/>
      <c r="F207" s="595"/>
      <c r="H207" s="14"/>
      <c r="I207" s="14"/>
      <c r="J207" s="176"/>
      <c r="K207" s="8"/>
      <c r="L207" s="14"/>
      <c r="M207" s="14"/>
      <c r="N207" s="187"/>
      <c r="O207" s="8"/>
      <c r="P207" s="8"/>
      <c r="Q207" s="8"/>
      <c r="R207" s="581"/>
      <c r="S207" s="581"/>
      <c r="T207" s="581"/>
      <c r="U207" s="175" t="b">
        <v>0</v>
      </c>
      <c r="V207" s="176" t="s">
        <v>219</v>
      </c>
      <c r="W207" s="185"/>
      <c r="Y207" s="14"/>
      <c r="Z207" s="581"/>
      <c r="AA207" s="14"/>
      <c r="AB207" s="14"/>
      <c r="AC207" s="14"/>
      <c r="AD207" s="14"/>
      <c r="AE207" s="580"/>
      <c r="AF207" s="45"/>
      <c r="AG207" s="14"/>
    </row>
    <row r="208" spans="1:33" ht="30" customHeight="1">
      <c r="A208" s="598"/>
      <c r="B208" s="246">
        <f t="shared" si="16"/>
        <v>177</v>
      </c>
      <c r="C208" s="592"/>
      <c r="E208"/>
      <c r="H208" s="14"/>
      <c r="I208" s="14"/>
      <c r="J208" s="326"/>
      <c r="K208" s="182"/>
      <c r="L208" s="182"/>
      <c r="M208" s="182"/>
      <c r="N208" s="182"/>
      <c r="O208" s="8"/>
      <c r="P208" s="8"/>
      <c r="Q208" s="8"/>
      <c r="R208" s="174" t="b">
        <v>0</v>
      </c>
      <c r="S208" s="8" t="s">
        <v>220</v>
      </c>
      <c r="T208" s="8" t="s">
        <v>140</v>
      </c>
      <c r="U208" s="581"/>
      <c r="V208" s="581"/>
      <c r="Y208" s="14"/>
      <c r="Z208" s="322"/>
      <c r="AA208" s="14"/>
      <c r="AB208" s="14"/>
      <c r="AC208" s="14"/>
      <c r="AD208" s="14"/>
      <c r="AE208" s="14"/>
      <c r="AF208" s="45"/>
      <c r="AG208" s="14"/>
    </row>
    <row r="209" spans="1:33">
      <c r="A209" s="598"/>
      <c r="B209" s="246">
        <f t="shared" si="16"/>
        <v>178</v>
      </c>
      <c r="C209" s="592"/>
      <c r="E209"/>
      <c r="H209" s="181"/>
      <c r="I209" s="14"/>
      <c r="J209" s="326"/>
      <c r="K209" s="182"/>
      <c r="L209" s="182"/>
      <c r="M209" s="182"/>
      <c r="N209" s="182"/>
      <c r="O209" s="8"/>
      <c r="P209" s="8"/>
      <c r="Q209" s="8"/>
      <c r="R209" s="581"/>
      <c r="S209" s="581"/>
      <c r="T209" s="581"/>
      <c r="U209" s="175" t="b">
        <v>0</v>
      </c>
      <c r="V209" s="8" t="s">
        <v>221</v>
      </c>
      <c r="W209" s="8"/>
      <c r="Y209" s="14"/>
      <c r="Z209" s="322"/>
      <c r="AA209" s="14"/>
      <c r="AB209" s="14"/>
      <c r="AC209" s="14"/>
      <c r="AD209" s="14"/>
      <c r="AE209" s="14"/>
      <c r="AF209" s="45"/>
      <c r="AG209" s="14"/>
    </row>
    <row r="210" spans="1:33" ht="30" customHeight="1" thickBot="1">
      <c r="A210" s="599"/>
      <c r="B210" s="246">
        <f t="shared" si="16"/>
        <v>179</v>
      </c>
      <c r="C210" s="593"/>
      <c r="D210" s="47"/>
      <c r="E210" s="47"/>
      <c r="F210" s="47"/>
      <c r="G210" s="47"/>
      <c r="H210" s="48"/>
      <c r="I210" s="48"/>
      <c r="J210" s="327"/>
      <c r="K210" s="49"/>
      <c r="L210" s="49"/>
      <c r="M210" s="49"/>
      <c r="N210" s="49"/>
      <c r="O210" s="50"/>
      <c r="P210" s="50"/>
      <c r="Q210" s="50"/>
      <c r="R210" s="581"/>
      <c r="S210" s="581"/>
      <c r="T210" s="581"/>
      <c r="U210" s="581"/>
      <c r="V210" s="581"/>
      <c r="W210" s="50"/>
      <c r="X210" s="342"/>
      <c r="Y210" s="48"/>
      <c r="Z210" s="323"/>
      <c r="AA210" s="48"/>
      <c r="AB210" s="48"/>
      <c r="AC210" s="48"/>
      <c r="AD210" s="48"/>
      <c r="AE210" s="48"/>
      <c r="AF210" s="51"/>
      <c r="AG210" s="14"/>
    </row>
    <row r="211" spans="1:33" ht="15" hidden="1" customHeight="1" thickBot="1">
      <c r="A211" s="79"/>
      <c r="B211" s="200"/>
      <c r="C211" s="333"/>
      <c r="D211" s="334"/>
      <c r="E211" s="334"/>
      <c r="F211" s="334"/>
      <c r="G211" s="334"/>
      <c r="H211" s="334"/>
      <c r="I211" s="334"/>
      <c r="J211" s="335"/>
      <c r="K211" s="334"/>
      <c r="L211" s="334"/>
      <c r="M211" s="334"/>
      <c r="N211" s="334"/>
      <c r="O211" s="334"/>
      <c r="P211" s="334"/>
      <c r="Q211" s="334"/>
      <c r="R211" s="334"/>
      <c r="S211" s="334"/>
      <c r="T211" s="334"/>
      <c r="U211" s="335"/>
      <c r="V211" s="334"/>
      <c r="W211" s="334"/>
      <c r="X211" s="335"/>
      <c r="Y211" s="334"/>
      <c r="Z211" s="336"/>
      <c r="AA211" s="334"/>
      <c r="AB211" s="334"/>
      <c r="AC211" s="334"/>
      <c r="AD211" s="334"/>
      <c r="AE211" s="334"/>
      <c r="AF211" s="337"/>
      <c r="AG211" s="14"/>
    </row>
    <row r="212" spans="1:33" ht="5.0999999999999996" customHeight="1" thickBot="1">
      <c r="A212" s="79"/>
      <c r="B212" s="200"/>
      <c r="C212" s="332"/>
      <c r="D212" s="197"/>
      <c r="E212" s="197"/>
      <c r="F212" s="197"/>
      <c r="G212" s="197"/>
      <c r="H212" s="197"/>
      <c r="I212" s="197"/>
      <c r="J212" s="330"/>
      <c r="K212" s="197"/>
      <c r="L212" s="197"/>
      <c r="M212" s="197"/>
      <c r="N212" s="197"/>
      <c r="O212" s="197"/>
      <c r="P212" s="197"/>
      <c r="Q212" s="197"/>
      <c r="R212" s="197"/>
      <c r="S212" s="197"/>
      <c r="T212" s="197"/>
      <c r="U212" s="330"/>
      <c r="V212" s="197"/>
      <c r="W212" s="197"/>
      <c r="X212" s="330"/>
      <c r="Y212" s="197"/>
      <c r="Z212" s="331"/>
      <c r="AA212" s="197"/>
      <c r="AB212" s="197"/>
      <c r="AC212" s="197"/>
      <c r="AD212" s="197"/>
      <c r="AE212" s="197"/>
      <c r="AF212" s="261"/>
      <c r="AG212" s="79"/>
    </row>
    <row r="213" spans="1:33" ht="15" hidden="1" customHeight="1" thickBot="1">
      <c r="A213" s="79"/>
      <c r="B213" s="200"/>
      <c r="C213" s="332"/>
      <c r="D213" s="197"/>
      <c r="E213" s="197"/>
      <c r="F213" s="197"/>
      <c r="G213" s="197"/>
      <c r="H213" s="197"/>
      <c r="I213" s="197"/>
      <c r="J213" s="330"/>
      <c r="K213" s="197"/>
      <c r="L213" s="197"/>
      <c r="M213" s="197"/>
      <c r="N213" s="197"/>
      <c r="O213" s="197"/>
      <c r="P213" s="197"/>
      <c r="Q213" s="197"/>
      <c r="R213" s="197"/>
      <c r="S213" s="197"/>
      <c r="T213" s="197"/>
      <c r="U213" s="330"/>
      <c r="V213" s="197"/>
      <c r="W213" s="197"/>
      <c r="X213" s="330"/>
      <c r="Y213" s="197"/>
      <c r="Z213" s="331"/>
      <c r="AA213" s="197"/>
      <c r="AB213" s="197"/>
      <c r="AC213" s="197"/>
      <c r="AD213" s="197"/>
      <c r="AE213" s="197"/>
      <c r="AF213" s="261"/>
      <c r="AG213"/>
    </row>
    <row r="214" spans="1:33" ht="29.1" customHeight="1">
      <c r="A214" s="597">
        <f>A202+1</f>
        <v>18</v>
      </c>
      <c r="B214" s="246">
        <f>B202+10</f>
        <v>181</v>
      </c>
      <c r="C214" s="591" t="str">
        <f>VLOOKUP(A214,INputs!$G$3:$O$22,7,FALSE)</f>
        <v>Please fill out Sensitivity Labels Tab</v>
      </c>
      <c r="D214" s="498"/>
      <c r="E214" s="498"/>
      <c r="F214" s="583" t="s">
        <v>141</v>
      </c>
      <c r="G214" s="583"/>
      <c r="H214" s="583" t="s">
        <v>141</v>
      </c>
      <c r="I214" s="583"/>
      <c r="J214" s="584" t="str">
        <f>J$10</f>
        <v>Select a check box</v>
      </c>
      <c r="K214" s="584"/>
      <c r="L214" s="584" t="s">
        <v>141</v>
      </c>
      <c r="M214" s="584"/>
      <c r="N214" s="584"/>
      <c r="O214" s="584" t="s">
        <v>141</v>
      </c>
      <c r="P214" s="584"/>
      <c r="Q214" s="584"/>
      <c r="R214" s="588" t="s">
        <v>198</v>
      </c>
      <c r="S214" s="588"/>
      <c r="T214" s="344" t="s">
        <v>140</v>
      </c>
      <c r="U214" s="589" t="s">
        <v>199</v>
      </c>
      <c r="V214" s="589"/>
      <c r="W214" s="42"/>
      <c r="X214" s="341"/>
      <c r="Y214" s="582" t="s">
        <v>141</v>
      </c>
      <c r="Z214" s="582"/>
      <c r="AA214" s="43"/>
      <c r="AB214" s="583"/>
      <c r="AC214" s="583"/>
      <c r="AD214" s="487"/>
      <c r="AE214" s="489" t="s">
        <v>200</v>
      </c>
      <c r="AF214" s="44"/>
      <c r="AG214" s="499"/>
    </row>
    <row r="215" spans="1:33">
      <c r="A215" s="598"/>
      <c r="B215" s="246">
        <f>B214+1</f>
        <v>182</v>
      </c>
      <c r="C215" s="592"/>
      <c r="D215" s="502"/>
      <c r="E215" s="502"/>
      <c r="F215" s="492"/>
      <c r="G215" s="492"/>
      <c r="H215" s="492"/>
      <c r="I215" s="492"/>
      <c r="J215" s="493"/>
      <c r="K215" s="493"/>
      <c r="L215" s="493"/>
      <c r="M215" s="493"/>
      <c r="N215" s="493"/>
      <c r="O215" s="493"/>
      <c r="P215" s="493"/>
      <c r="Q215" s="493"/>
      <c r="R215" s="581"/>
      <c r="S215" s="581"/>
      <c r="T215" s="581"/>
      <c r="U215" s="472"/>
      <c r="V215" s="491" t="s">
        <v>142</v>
      </c>
      <c r="W215" s="185"/>
      <c r="X215" s="343"/>
      <c r="Y215" s="488"/>
      <c r="Z215" s="488"/>
      <c r="AA215" s="499"/>
      <c r="AB215" s="492"/>
      <c r="AC215" s="468" t="s">
        <v>141</v>
      </c>
      <c r="AD215" s="492"/>
      <c r="AE215" s="579"/>
      <c r="AF215" s="46"/>
      <c r="AG215" s="499"/>
    </row>
    <row r="216" spans="1:33" ht="30.6">
      <c r="A216" s="598"/>
      <c r="B216" s="246">
        <f t="shared" ref="B216:B222" si="17">B215+1</f>
        <v>183</v>
      </c>
      <c r="C216" s="592"/>
      <c r="E216" s="171" t="b">
        <v>0</v>
      </c>
      <c r="F216" s="3" t="s">
        <v>201</v>
      </c>
      <c r="H216" s="171" t="b">
        <v>0</v>
      </c>
      <c r="I216" s="180" t="s">
        <v>202</v>
      </c>
      <c r="J216" s="172" t="b">
        <v>0</v>
      </c>
      <c r="K216" s="173" t="s">
        <v>203</v>
      </c>
      <c r="L216" s="174" t="b">
        <v>0</v>
      </c>
      <c r="M216" s="8" t="s">
        <v>204</v>
      </c>
      <c r="N216" s="182"/>
      <c r="O216" s="174" t="b">
        <v>0</v>
      </c>
      <c r="P216" s="8" t="s">
        <v>205</v>
      </c>
      <c r="Q216" s="8"/>
      <c r="R216" s="581"/>
      <c r="S216" s="581"/>
      <c r="T216" s="581"/>
      <c r="U216" s="581"/>
      <c r="V216" s="581"/>
      <c r="W216" s="185"/>
      <c r="X216" s="175" t="b">
        <v>0</v>
      </c>
      <c r="Y216" s="176" t="s">
        <v>206</v>
      </c>
      <c r="Z216" s="500"/>
      <c r="AA216" s="14"/>
      <c r="AB216" s="467" t="b">
        <v>0</v>
      </c>
      <c r="AC216" s="340" t="s">
        <v>207</v>
      </c>
      <c r="AD216" s="14"/>
      <c r="AE216" s="579"/>
      <c r="AF216" s="45"/>
      <c r="AG216" s="14"/>
    </row>
    <row r="217" spans="1:33" ht="35.1" customHeight="1">
      <c r="A217" s="598"/>
      <c r="B217" s="246">
        <f t="shared" si="17"/>
        <v>184</v>
      </c>
      <c r="C217" s="592"/>
      <c r="E217" s="171" t="b">
        <v>0</v>
      </c>
      <c r="F217" s="168" t="s">
        <v>208</v>
      </c>
      <c r="H217" s="14"/>
      <c r="I217" s="180"/>
      <c r="J217" s="175" t="b">
        <v>0</v>
      </c>
      <c r="K217" s="594" t="s">
        <v>209</v>
      </c>
      <c r="L217" s="175" t="b">
        <v>0</v>
      </c>
      <c r="M217" s="176" t="s">
        <v>210</v>
      </c>
      <c r="N217" s="338">
        <v>44197</v>
      </c>
      <c r="O217" s="175" t="b">
        <v>0</v>
      </c>
      <c r="P217" s="176" t="s">
        <v>204</v>
      </c>
      <c r="Q217" s="176"/>
      <c r="R217" s="174" t="b">
        <v>0</v>
      </c>
      <c r="S217" s="8" t="s">
        <v>211</v>
      </c>
      <c r="T217" s="8" t="s">
        <v>140</v>
      </c>
      <c r="U217" s="175" t="b">
        <v>0</v>
      </c>
      <c r="V217" s="491" t="s">
        <v>212</v>
      </c>
      <c r="W217" s="184"/>
      <c r="X217" s="175" t="b">
        <v>0</v>
      </c>
      <c r="Y217" s="176" t="s">
        <v>213</v>
      </c>
      <c r="Z217" s="500"/>
      <c r="AA217" s="14"/>
      <c r="AB217" s="186"/>
      <c r="AC217" s="492" t="s">
        <v>142</v>
      </c>
      <c r="AD217" s="179"/>
      <c r="AE217" s="493" t="s">
        <v>214</v>
      </c>
      <c r="AF217" s="46"/>
      <c r="AG217" s="14"/>
    </row>
    <row r="218" spans="1:33" ht="14.45" customHeight="1">
      <c r="A218" s="598"/>
      <c r="B218" s="246">
        <f t="shared" si="17"/>
        <v>185</v>
      </c>
      <c r="C218" s="592"/>
      <c r="E218" s="171" t="b">
        <v>0</v>
      </c>
      <c r="F218" s="595" t="s">
        <v>229</v>
      </c>
      <c r="H218" s="171" t="b">
        <v>0</v>
      </c>
      <c r="I218" s="180" t="s">
        <v>216</v>
      </c>
      <c r="J218" s="176"/>
      <c r="K218" s="594"/>
      <c r="L218" s="174" t="b">
        <v>0</v>
      </c>
      <c r="M218" s="39" t="s">
        <v>217</v>
      </c>
      <c r="N218" s="523">
        <v>6</v>
      </c>
      <c r="O218" s="174" t="b">
        <v>0</v>
      </c>
      <c r="P218" s="8" t="s">
        <v>217</v>
      </c>
      <c r="Q218" s="523">
        <v>0</v>
      </c>
      <c r="R218" s="581"/>
      <c r="S218" s="581"/>
      <c r="T218" s="581"/>
      <c r="U218" s="590" t="s">
        <v>141</v>
      </c>
      <c r="V218" s="590"/>
      <c r="W218" s="590"/>
      <c r="X218" s="175" t="b">
        <v>0</v>
      </c>
      <c r="Y218" s="8" t="s">
        <v>218</v>
      </c>
      <c r="Z218" s="581"/>
      <c r="AA218" s="14"/>
      <c r="AB218" s="186"/>
      <c r="AC218" s="20"/>
      <c r="AD218" s="14"/>
      <c r="AE218" s="580"/>
      <c r="AF218" s="45"/>
      <c r="AG218" s="14"/>
    </row>
    <row r="219" spans="1:33">
      <c r="A219" s="598"/>
      <c r="B219" s="246">
        <f t="shared" si="17"/>
        <v>186</v>
      </c>
      <c r="C219" s="592"/>
      <c r="F219" s="595"/>
      <c r="H219" s="14"/>
      <c r="I219" s="14"/>
      <c r="J219" s="176"/>
      <c r="K219" s="8"/>
      <c r="L219" s="14"/>
      <c r="M219" s="14"/>
      <c r="N219" s="187"/>
      <c r="O219" s="8"/>
      <c r="P219" s="8"/>
      <c r="Q219" s="8"/>
      <c r="R219" s="581"/>
      <c r="S219" s="581"/>
      <c r="T219" s="581"/>
      <c r="U219" s="175" t="b">
        <v>0</v>
      </c>
      <c r="V219" s="176" t="s">
        <v>219</v>
      </c>
      <c r="W219" s="185"/>
      <c r="Y219" s="14"/>
      <c r="Z219" s="581"/>
      <c r="AA219" s="14"/>
      <c r="AB219" s="14"/>
      <c r="AC219" s="14"/>
      <c r="AD219" s="14"/>
      <c r="AE219" s="580"/>
      <c r="AF219" s="45"/>
      <c r="AG219" s="14"/>
    </row>
    <row r="220" spans="1:33" ht="30" customHeight="1">
      <c r="A220" s="598"/>
      <c r="B220" s="246">
        <f t="shared" si="17"/>
        <v>187</v>
      </c>
      <c r="C220" s="592"/>
      <c r="E220"/>
      <c r="H220" s="14"/>
      <c r="I220" s="14"/>
      <c r="J220" s="326"/>
      <c r="K220" s="182"/>
      <c r="L220" s="182"/>
      <c r="M220" s="182"/>
      <c r="N220" s="182"/>
      <c r="O220" s="8"/>
      <c r="P220" s="8"/>
      <c r="Q220" s="8"/>
      <c r="R220" s="174" t="b">
        <v>0</v>
      </c>
      <c r="S220" s="8" t="s">
        <v>220</v>
      </c>
      <c r="T220" s="8" t="s">
        <v>140</v>
      </c>
      <c r="U220" s="581"/>
      <c r="V220" s="581"/>
      <c r="Y220" s="14"/>
      <c r="Z220" s="322"/>
      <c r="AA220" s="14"/>
      <c r="AB220" s="14"/>
      <c r="AC220" s="14"/>
      <c r="AD220" s="14"/>
      <c r="AE220" s="14"/>
      <c r="AF220" s="45"/>
      <c r="AG220" s="14"/>
    </row>
    <row r="221" spans="1:33">
      <c r="A221" s="598"/>
      <c r="B221" s="246">
        <f t="shared" si="17"/>
        <v>188</v>
      </c>
      <c r="C221" s="592"/>
      <c r="E221"/>
      <c r="H221" s="181"/>
      <c r="I221" s="14"/>
      <c r="J221" s="326"/>
      <c r="K221" s="182"/>
      <c r="L221" s="182"/>
      <c r="M221" s="182"/>
      <c r="N221" s="182"/>
      <c r="O221" s="8"/>
      <c r="P221" s="8"/>
      <c r="Q221" s="8"/>
      <c r="R221" s="581"/>
      <c r="S221" s="581"/>
      <c r="T221" s="581"/>
      <c r="U221" s="175" t="b">
        <v>0</v>
      </c>
      <c r="V221" s="8" t="s">
        <v>221</v>
      </c>
      <c r="W221" s="8"/>
      <c r="Y221" s="14"/>
      <c r="Z221" s="322"/>
      <c r="AA221" s="14"/>
      <c r="AB221" s="14"/>
      <c r="AC221" s="14"/>
      <c r="AD221" s="14"/>
      <c r="AE221" s="14"/>
      <c r="AF221" s="45"/>
      <c r="AG221" s="14"/>
    </row>
    <row r="222" spans="1:33" ht="30" customHeight="1" thickBot="1">
      <c r="A222" s="599"/>
      <c r="B222" s="246">
        <f t="shared" si="17"/>
        <v>189</v>
      </c>
      <c r="C222" s="593"/>
      <c r="D222" s="47"/>
      <c r="E222" s="47"/>
      <c r="F222" s="47"/>
      <c r="G222" s="47"/>
      <c r="H222" s="48"/>
      <c r="I222" s="48"/>
      <c r="J222" s="327"/>
      <c r="K222" s="49"/>
      <c r="L222" s="49"/>
      <c r="M222" s="49"/>
      <c r="N222" s="49"/>
      <c r="O222" s="50"/>
      <c r="P222" s="50"/>
      <c r="Q222" s="50"/>
      <c r="R222" s="581"/>
      <c r="S222" s="581"/>
      <c r="T222" s="581"/>
      <c r="U222" s="581"/>
      <c r="V222" s="581"/>
      <c r="W222" s="50"/>
      <c r="X222" s="342"/>
      <c r="Y222" s="48"/>
      <c r="Z222" s="323"/>
      <c r="AA222" s="48"/>
      <c r="AB222" s="48"/>
      <c r="AC222" s="48"/>
      <c r="AD222" s="48"/>
      <c r="AE222" s="48"/>
      <c r="AF222" s="51"/>
      <c r="AG222" s="14"/>
    </row>
    <row r="223" spans="1:33" ht="15" hidden="1" customHeight="1" thickBot="1">
      <c r="A223" s="79"/>
      <c r="B223" s="200"/>
      <c r="C223" s="333"/>
      <c r="D223" s="334"/>
      <c r="E223" s="334"/>
      <c r="F223" s="334"/>
      <c r="G223" s="334"/>
      <c r="H223" s="334"/>
      <c r="I223" s="334"/>
      <c r="J223" s="335"/>
      <c r="K223" s="334"/>
      <c r="L223" s="334"/>
      <c r="M223" s="334"/>
      <c r="N223" s="334"/>
      <c r="O223" s="334"/>
      <c r="P223" s="334"/>
      <c r="Q223" s="334"/>
      <c r="R223" s="334"/>
      <c r="S223" s="334"/>
      <c r="T223" s="334"/>
      <c r="U223" s="335"/>
      <c r="V223" s="334"/>
      <c r="W223" s="334"/>
      <c r="X223" s="335"/>
      <c r="Y223" s="334"/>
      <c r="Z223" s="336"/>
      <c r="AA223" s="334"/>
      <c r="AB223" s="334"/>
      <c r="AC223" s="334"/>
      <c r="AD223" s="334"/>
      <c r="AE223" s="334"/>
      <c r="AF223" s="337"/>
      <c r="AG223" s="79"/>
    </row>
    <row r="224" spans="1:33" ht="5.0999999999999996" customHeight="1" thickBot="1">
      <c r="A224" s="79"/>
      <c r="B224" s="200"/>
      <c r="C224" s="332"/>
      <c r="D224" s="197"/>
      <c r="E224" s="197"/>
      <c r="F224" s="197"/>
      <c r="G224" s="197"/>
      <c r="H224" s="197"/>
      <c r="I224" s="197"/>
      <c r="J224" s="330"/>
      <c r="K224" s="197"/>
      <c r="L224" s="197"/>
      <c r="M224" s="197"/>
      <c r="N224" s="197"/>
      <c r="O224" s="197"/>
      <c r="P224" s="197"/>
      <c r="Q224" s="197"/>
      <c r="R224" s="197"/>
      <c r="S224" s="197"/>
      <c r="T224" s="197"/>
      <c r="U224" s="330"/>
      <c r="V224" s="197"/>
      <c r="W224" s="197"/>
      <c r="X224" s="330"/>
      <c r="Y224" s="197"/>
      <c r="Z224" s="331"/>
      <c r="AA224" s="197"/>
      <c r="AB224" s="197"/>
      <c r="AC224" s="197"/>
      <c r="AD224" s="197"/>
      <c r="AE224" s="197"/>
      <c r="AF224" s="261"/>
      <c r="AG224" s="79"/>
    </row>
    <row r="225" spans="1:33" ht="15" hidden="1" customHeight="1" thickBot="1">
      <c r="A225" s="79"/>
      <c r="B225" s="200"/>
      <c r="C225" s="188"/>
      <c r="D225" s="189"/>
      <c r="E225" s="189"/>
      <c r="F225" s="189"/>
      <c r="G225" s="189"/>
      <c r="H225" s="189"/>
      <c r="I225" s="189"/>
      <c r="J225" s="325"/>
      <c r="K225" s="189"/>
      <c r="L225" s="189"/>
      <c r="M225" s="189"/>
      <c r="N225" s="189"/>
      <c r="O225" s="189"/>
      <c r="P225" s="189"/>
      <c r="Q225" s="189"/>
      <c r="R225" s="189"/>
      <c r="S225" s="189"/>
      <c r="T225" s="189"/>
      <c r="U225" s="325"/>
      <c r="V225" s="189"/>
      <c r="W225" s="189"/>
      <c r="X225" s="325"/>
      <c r="Y225" s="189"/>
      <c r="Z225" s="324"/>
      <c r="AA225" s="189"/>
      <c r="AB225" s="189"/>
      <c r="AC225" s="189"/>
      <c r="AD225" s="189"/>
      <c r="AE225" s="189"/>
      <c r="AF225" s="190"/>
      <c r="AG225" s="79"/>
    </row>
    <row r="226" spans="1:33" ht="29.1" customHeight="1">
      <c r="A226" s="597">
        <f>A214+1</f>
        <v>19</v>
      </c>
      <c r="B226" s="246">
        <f>B214+10</f>
        <v>191</v>
      </c>
      <c r="C226" s="591" t="str">
        <f>VLOOKUP(A226,INputs!$G$3:$O$22,7,FALSE)</f>
        <v>Please fill out Sensitivity Labels Tab</v>
      </c>
      <c r="D226" s="498"/>
      <c r="E226" s="498"/>
      <c r="F226" s="583" t="s">
        <v>141</v>
      </c>
      <c r="G226" s="583"/>
      <c r="H226" s="583" t="s">
        <v>141</v>
      </c>
      <c r="I226" s="583"/>
      <c r="J226" s="584" t="str">
        <f>J$10</f>
        <v>Select a check box</v>
      </c>
      <c r="K226" s="584"/>
      <c r="L226" s="584" t="s">
        <v>141</v>
      </c>
      <c r="M226" s="584"/>
      <c r="N226" s="584"/>
      <c r="O226" s="584" t="s">
        <v>141</v>
      </c>
      <c r="P226" s="584"/>
      <c r="Q226" s="584"/>
      <c r="R226" s="588" t="s">
        <v>198</v>
      </c>
      <c r="S226" s="588"/>
      <c r="T226" s="344" t="s">
        <v>140</v>
      </c>
      <c r="U226" s="589" t="s">
        <v>199</v>
      </c>
      <c r="V226" s="589"/>
      <c r="W226" s="42"/>
      <c r="X226" s="341"/>
      <c r="Y226" s="582" t="s">
        <v>141</v>
      </c>
      <c r="Z226" s="582"/>
      <c r="AA226" s="43"/>
      <c r="AB226" s="583"/>
      <c r="AC226" s="583"/>
      <c r="AD226" s="487"/>
      <c r="AE226" s="489" t="s">
        <v>200</v>
      </c>
      <c r="AF226" s="44"/>
      <c r="AG226" s="499"/>
    </row>
    <row r="227" spans="1:33">
      <c r="A227" s="598"/>
      <c r="B227" s="246">
        <f>B226+1</f>
        <v>192</v>
      </c>
      <c r="C227" s="592"/>
      <c r="D227" s="502"/>
      <c r="E227" s="502"/>
      <c r="F227" s="492"/>
      <c r="G227" s="492"/>
      <c r="H227" s="492"/>
      <c r="I227" s="492"/>
      <c r="J227" s="493"/>
      <c r="K227" s="493"/>
      <c r="L227" s="493"/>
      <c r="M227" s="493"/>
      <c r="N227" s="493"/>
      <c r="O227" s="493"/>
      <c r="P227" s="493"/>
      <c r="Q227" s="493"/>
      <c r="R227" s="581"/>
      <c r="S227" s="581"/>
      <c r="T227" s="581"/>
      <c r="U227" s="472"/>
      <c r="V227" s="491" t="s">
        <v>142</v>
      </c>
      <c r="W227" s="185"/>
      <c r="X227" s="343"/>
      <c r="Y227" s="488"/>
      <c r="Z227" s="488"/>
      <c r="AA227" s="499"/>
      <c r="AB227" s="492"/>
      <c r="AC227" s="468" t="s">
        <v>141</v>
      </c>
      <c r="AD227" s="492"/>
      <c r="AE227" s="579"/>
      <c r="AF227" s="46"/>
      <c r="AG227" s="499"/>
    </row>
    <row r="228" spans="1:33" ht="30.6">
      <c r="A228" s="598"/>
      <c r="B228" s="246">
        <f t="shared" ref="B228:B234" si="18">B227+1</f>
        <v>193</v>
      </c>
      <c r="C228" s="592"/>
      <c r="E228" s="171" t="b">
        <v>0</v>
      </c>
      <c r="F228" s="3" t="s">
        <v>201</v>
      </c>
      <c r="H228" s="171" t="b">
        <v>0</v>
      </c>
      <c r="I228" s="180" t="s">
        <v>202</v>
      </c>
      <c r="J228" s="172" t="b">
        <v>0</v>
      </c>
      <c r="K228" s="173" t="s">
        <v>203</v>
      </c>
      <c r="L228" s="174" t="b">
        <v>0</v>
      </c>
      <c r="M228" s="8" t="s">
        <v>204</v>
      </c>
      <c r="N228" s="182"/>
      <c r="O228" s="174" t="b">
        <v>0</v>
      </c>
      <c r="P228" s="8" t="s">
        <v>205</v>
      </c>
      <c r="Q228" s="8"/>
      <c r="R228" s="581"/>
      <c r="S228" s="581"/>
      <c r="T228" s="581"/>
      <c r="U228" s="581"/>
      <c r="V228" s="581"/>
      <c r="W228" s="185"/>
      <c r="X228" s="175" t="b">
        <v>0</v>
      </c>
      <c r="Y228" s="176" t="s">
        <v>206</v>
      </c>
      <c r="Z228" s="500"/>
      <c r="AA228" s="14"/>
      <c r="AB228" s="467" t="b">
        <v>0</v>
      </c>
      <c r="AC228" s="340" t="s">
        <v>207</v>
      </c>
      <c r="AD228" s="14"/>
      <c r="AE228" s="579"/>
      <c r="AF228" s="45"/>
      <c r="AG228" s="14"/>
    </row>
    <row r="229" spans="1:33" ht="35.1" customHeight="1">
      <c r="A229" s="598"/>
      <c r="B229" s="246">
        <f t="shared" si="18"/>
        <v>194</v>
      </c>
      <c r="C229" s="592"/>
      <c r="E229" s="171" t="b">
        <v>0</v>
      </c>
      <c r="F229" s="168" t="s">
        <v>208</v>
      </c>
      <c r="H229" s="14"/>
      <c r="I229" s="180"/>
      <c r="J229" s="175" t="b">
        <v>0</v>
      </c>
      <c r="K229" s="594" t="s">
        <v>209</v>
      </c>
      <c r="L229" s="175" t="b">
        <v>0</v>
      </c>
      <c r="M229" s="176" t="s">
        <v>210</v>
      </c>
      <c r="N229" s="338">
        <v>44197</v>
      </c>
      <c r="O229" s="175" t="b">
        <v>0</v>
      </c>
      <c r="P229" s="176" t="s">
        <v>204</v>
      </c>
      <c r="Q229" s="176"/>
      <c r="R229" s="174" t="b">
        <v>0</v>
      </c>
      <c r="S229" s="8" t="s">
        <v>211</v>
      </c>
      <c r="T229" s="8" t="s">
        <v>140</v>
      </c>
      <c r="U229" s="175" t="b">
        <v>0</v>
      </c>
      <c r="V229" s="491" t="s">
        <v>212</v>
      </c>
      <c r="W229" s="184"/>
      <c r="X229" s="175" t="b">
        <v>0</v>
      </c>
      <c r="Y229" s="176" t="s">
        <v>213</v>
      </c>
      <c r="Z229" s="500"/>
      <c r="AA229" s="14"/>
      <c r="AB229" s="186"/>
      <c r="AC229" s="492" t="s">
        <v>142</v>
      </c>
      <c r="AD229" s="179"/>
      <c r="AE229" s="493" t="s">
        <v>214</v>
      </c>
      <c r="AF229" s="46"/>
      <c r="AG229" s="14"/>
    </row>
    <row r="230" spans="1:33" ht="14.45" customHeight="1">
      <c r="A230" s="598"/>
      <c r="B230" s="246">
        <f t="shared" si="18"/>
        <v>195</v>
      </c>
      <c r="C230" s="592"/>
      <c r="E230" s="171" t="b">
        <v>0</v>
      </c>
      <c r="F230" s="595" t="s">
        <v>229</v>
      </c>
      <c r="H230" s="171" t="b">
        <v>0</v>
      </c>
      <c r="I230" s="180" t="s">
        <v>216</v>
      </c>
      <c r="J230" s="176"/>
      <c r="K230" s="594"/>
      <c r="L230" s="174" t="b">
        <v>0</v>
      </c>
      <c r="M230" s="39" t="s">
        <v>217</v>
      </c>
      <c r="N230" s="523">
        <v>6</v>
      </c>
      <c r="O230" s="174" t="b">
        <v>0</v>
      </c>
      <c r="P230" s="8" t="s">
        <v>217</v>
      </c>
      <c r="Q230" s="523">
        <v>0</v>
      </c>
      <c r="R230" s="581"/>
      <c r="S230" s="581"/>
      <c r="T230" s="581"/>
      <c r="U230" s="590" t="s">
        <v>141</v>
      </c>
      <c r="V230" s="590"/>
      <c r="W230" s="590"/>
      <c r="X230" s="175" t="b">
        <v>0</v>
      </c>
      <c r="Y230" s="8" t="s">
        <v>218</v>
      </c>
      <c r="Z230" s="581"/>
      <c r="AA230" s="14"/>
      <c r="AB230" s="186"/>
      <c r="AC230" s="20"/>
      <c r="AD230" s="14"/>
      <c r="AE230" s="580"/>
      <c r="AF230" s="45"/>
      <c r="AG230" s="14"/>
    </row>
    <row r="231" spans="1:33">
      <c r="A231" s="598"/>
      <c r="B231" s="246">
        <f t="shared" si="18"/>
        <v>196</v>
      </c>
      <c r="C231" s="592"/>
      <c r="F231" s="595"/>
      <c r="H231" s="14"/>
      <c r="I231" s="14"/>
      <c r="J231" s="176"/>
      <c r="K231" s="8"/>
      <c r="L231" s="14"/>
      <c r="M231" s="14"/>
      <c r="N231" s="187"/>
      <c r="O231" s="8"/>
      <c r="P231" s="8"/>
      <c r="Q231" s="8"/>
      <c r="R231" s="581"/>
      <c r="S231" s="581"/>
      <c r="T231" s="581"/>
      <c r="U231" s="175" t="b">
        <v>0</v>
      </c>
      <c r="V231" s="176" t="s">
        <v>219</v>
      </c>
      <c r="W231" s="185"/>
      <c r="Y231" s="14"/>
      <c r="Z231" s="581"/>
      <c r="AA231" s="14"/>
      <c r="AB231" s="14"/>
      <c r="AC231" s="14"/>
      <c r="AD231" s="14"/>
      <c r="AE231" s="580"/>
      <c r="AF231" s="45"/>
      <c r="AG231" s="14"/>
    </row>
    <row r="232" spans="1:33" ht="30" customHeight="1">
      <c r="A232" s="598"/>
      <c r="B232" s="246">
        <f t="shared" si="18"/>
        <v>197</v>
      </c>
      <c r="C232" s="592"/>
      <c r="E232"/>
      <c r="H232" s="14"/>
      <c r="I232" s="14"/>
      <c r="J232" s="326"/>
      <c r="K232" s="182"/>
      <c r="L232" s="182"/>
      <c r="M232" s="182"/>
      <c r="N232" s="182"/>
      <c r="O232" s="8"/>
      <c r="P232" s="8"/>
      <c r="Q232" s="8"/>
      <c r="R232" s="174" t="b">
        <v>0</v>
      </c>
      <c r="S232" s="8" t="s">
        <v>220</v>
      </c>
      <c r="T232" s="8" t="s">
        <v>140</v>
      </c>
      <c r="U232" s="581"/>
      <c r="V232" s="581"/>
      <c r="Y232" s="14"/>
      <c r="Z232" s="322"/>
      <c r="AA232" s="14"/>
      <c r="AB232" s="14"/>
      <c r="AC232" s="14"/>
      <c r="AD232" s="14"/>
      <c r="AE232" s="14"/>
      <c r="AF232" s="45"/>
      <c r="AG232" s="14"/>
    </row>
    <row r="233" spans="1:33">
      <c r="A233" s="598"/>
      <c r="B233" s="246">
        <f t="shared" si="18"/>
        <v>198</v>
      </c>
      <c r="C233" s="592"/>
      <c r="E233"/>
      <c r="H233" s="181"/>
      <c r="I233" s="14"/>
      <c r="J233" s="326"/>
      <c r="K233" s="182"/>
      <c r="L233" s="182"/>
      <c r="M233" s="182"/>
      <c r="N233" s="182"/>
      <c r="O233" s="8"/>
      <c r="P233" s="8"/>
      <c r="Q233" s="8"/>
      <c r="R233" s="581"/>
      <c r="S233" s="581"/>
      <c r="T233" s="581"/>
      <c r="U233" s="175" t="b">
        <v>0</v>
      </c>
      <c r="V233" s="8" t="s">
        <v>221</v>
      </c>
      <c r="W233" s="8"/>
      <c r="Y233" s="14"/>
      <c r="Z233" s="322"/>
      <c r="AA233" s="14"/>
      <c r="AB233" s="14"/>
      <c r="AC233" s="14"/>
      <c r="AD233" s="14"/>
      <c r="AE233" s="14"/>
      <c r="AF233" s="45"/>
      <c r="AG233" s="14"/>
    </row>
    <row r="234" spans="1:33" ht="30" customHeight="1" thickBot="1">
      <c r="A234" s="599"/>
      <c r="B234" s="246">
        <f t="shared" si="18"/>
        <v>199</v>
      </c>
      <c r="C234" s="593"/>
      <c r="D234" s="47"/>
      <c r="E234" s="47"/>
      <c r="F234" s="47"/>
      <c r="G234" s="47"/>
      <c r="H234" s="48"/>
      <c r="I234" s="48"/>
      <c r="J234" s="327"/>
      <c r="K234" s="49"/>
      <c r="L234" s="49"/>
      <c r="M234" s="49"/>
      <c r="N234" s="49"/>
      <c r="O234" s="50"/>
      <c r="P234" s="50"/>
      <c r="Q234" s="50"/>
      <c r="R234" s="581"/>
      <c r="S234" s="581"/>
      <c r="T234" s="581"/>
      <c r="U234" s="581"/>
      <c r="V234" s="581"/>
      <c r="W234" s="50"/>
      <c r="X234" s="342"/>
      <c r="Y234" s="48"/>
      <c r="Z234" s="323"/>
      <c r="AA234" s="48"/>
      <c r="AB234" s="48"/>
      <c r="AC234" s="48"/>
      <c r="AD234" s="48"/>
      <c r="AE234" s="48"/>
      <c r="AF234" s="51"/>
      <c r="AG234" s="14"/>
    </row>
    <row r="235" spans="1:33" ht="15" hidden="1" customHeight="1" thickBot="1">
      <c r="A235" s="79"/>
      <c r="B235" s="200"/>
      <c r="C235" s="333"/>
      <c r="D235" s="334"/>
      <c r="E235" s="334"/>
      <c r="F235" s="334"/>
      <c r="G235" s="334"/>
      <c r="H235" s="334"/>
      <c r="I235" s="334"/>
      <c r="J235" s="335"/>
      <c r="K235" s="334"/>
      <c r="L235" s="334"/>
      <c r="M235" s="334"/>
      <c r="N235" s="334"/>
      <c r="O235" s="334"/>
      <c r="P235" s="334"/>
      <c r="Q235" s="334"/>
      <c r="R235" s="334"/>
      <c r="S235" s="334"/>
      <c r="T235" s="334"/>
      <c r="U235" s="335"/>
      <c r="V235" s="334"/>
      <c r="W235" s="334"/>
      <c r="X235" s="335"/>
      <c r="Y235" s="334"/>
      <c r="Z235" s="336"/>
      <c r="AA235" s="334"/>
      <c r="AB235" s="334"/>
      <c r="AC235" s="334"/>
      <c r="AD235" s="334"/>
      <c r="AE235" s="334"/>
      <c r="AF235" s="337"/>
      <c r="AG235" s="14"/>
    </row>
    <row r="236" spans="1:33" ht="5.0999999999999996" customHeight="1" thickBot="1">
      <c r="A236" s="79"/>
      <c r="B236" s="200"/>
      <c r="C236" s="332"/>
      <c r="D236" s="197"/>
      <c r="E236" s="197"/>
      <c r="F236" s="197"/>
      <c r="G236" s="197"/>
      <c r="H236" s="197"/>
      <c r="I236" s="197"/>
      <c r="J236" s="330"/>
      <c r="K236" s="197"/>
      <c r="L236" s="197"/>
      <c r="M236" s="197"/>
      <c r="N236" s="197"/>
      <c r="O236" s="197"/>
      <c r="P236" s="197"/>
      <c r="Q236" s="197"/>
      <c r="R236" s="197"/>
      <c r="S236" s="197"/>
      <c r="T236" s="197"/>
      <c r="U236" s="330"/>
      <c r="V236" s="197"/>
      <c r="W236" s="197"/>
      <c r="X236" s="330"/>
      <c r="Y236" s="197"/>
      <c r="Z236" s="331"/>
      <c r="AA236" s="197"/>
      <c r="AB236" s="197"/>
      <c r="AC236" s="197"/>
      <c r="AD236" s="197"/>
      <c r="AE236" s="197"/>
      <c r="AF236" s="261"/>
      <c r="AG236" s="79"/>
    </row>
    <row r="237" spans="1:33" ht="15" hidden="1" customHeight="1" thickBot="1">
      <c r="A237" s="79"/>
      <c r="B237" s="200"/>
      <c r="C237" s="188"/>
      <c r="D237" s="189"/>
      <c r="E237" s="189"/>
      <c r="F237" s="189"/>
      <c r="G237" s="189"/>
      <c r="H237" s="189"/>
      <c r="I237" s="189"/>
      <c r="J237" s="325"/>
      <c r="K237" s="189"/>
      <c r="L237" s="189"/>
      <c r="M237" s="189"/>
      <c r="N237" s="189"/>
      <c r="O237" s="189"/>
      <c r="P237" s="189"/>
      <c r="Q237" s="189"/>
      <c r="R237" s="189"/>
      <c r="S237" s="189"/>
      <c r="T237" s="189"/>
      <c r="U237" s="325"/>
      <c r="V237" s="189"/>
      <c r="W237" s="189"/>
      <c r="X237" s="325"/>
      <c r="Y237" s="189"/>
      <c r="Z237" s="324"/>
      <c r="AA237" s="189"/>
      <c r="AB237" s="189"/>
      <c r="AC237" s="189"/>
      <c r="AD237" s="189"/>
      <c r="AE237" s="189"/>
      <c r="AF237" s="190"/>
      <c r="AG237"/>
    </row>
    <row r="238" spans="1:33" ht="29.1" customHeight="1">
      <c r="A238" s="597">
        <f>A226+1</f>
        <v>20</v>
      </c>
      <c r="B238" s="246">
        <f>B226+10</f>
        <v>201</v>
      </c>
      <c r="C238" s="591" t="str">
        <f>VLOOKUP(A238,INputs!$G$3:$O$22,7,FALSE)</f>
        <v>Please fill out Sensitivity Labels Tab</v>
      </c>
      <c r="D238" s="498"/>
      <c r="E238" s="498"/>
      <c r="F238" s="583" t="s">
        <v>141</v>
      </c>
      <c r="G238" s="583"/>
      <c r="H238" s="583" t="s">
        <v>141</v>
      </c>
      <c r="I238" s="583"/>
      <c r="J238" s="584" t="str">
        <f>J$10</f>
        <v>Select a check box</v>
      </c>
      <c r="K238" s="584"/>
      <c r="L238" s="584" t="s">
        <v>141</v>
      </c>
      <c r="M238" s="584"/>
      <c r="N238" s="584"/>
      <c r="O238" s="584" t="s">
        <v>141</v>
      </c>
      <c r="P238" s="584"/>
      <c r="Q238" s="584"/>
      <c r="R238" s="588" t="s">
        <v>198</v>
      </c>
      <c r="S238" s="588"/>
      <c r="T238" s="344" t="s">
        <v>140</v>
      </c>
      <c r="U238" s="589" t="s">
        <v>199</v>
      </c>
      <c r="V238" s="589"/>
      <c r="W238" s="42"/>
      <c r="X238" s="341"/>
      <c r="Y238" s="582" t="s">
        <v>141</v>
      </c>
      <c r="Z238" s="582"/>
      <c r="AA238" s="43"/>
      <c r="AB238" s="583"/>
      <c r="AC238" s="583"/>
      <c r="AD238" s="487"/>
      <c r="AE238" s="489" t="s">
        <v>200</v>
      </c>
      <c r="AF238" s="44"/>
      <c r="AG238" s="499"/>
    </row>
    <row r="239" spans="1:33">
      <c r="A239" s="598"/>
      <c r="B239" s="246">
        <f>B238+1</f>
        <v>202</v>
      </c>
      <c r="C239" s="592"/>
      <c r="D239" s="502"/>
      <c r="E239" s="502"/>
      <c r="F239" s="492"/>
      <c r="G239" s="492"/>
      <c r="H239" s="492"/>
      <c r="I239" s="492"/>
      <c r="J239" s="493"/>
      <c r="K239" s="493"/>
      <c r="L239" s="493"/>
      <c r="M239" s="493"/>
      <c r="N239" s="493"/>
      <c r="O239" s="493"/>
      <c r="P239" s="493"/>
      <c r="Q239" s="493"/>
      <c r="R239" s="581"/>
      <c r="S239" s="581"/>
      <c r="T239" s="581"/>
      <c r="U239" s="472"/>
      <c r="V239" s="491" t="s">
        <v>142</v>
      </c>
      <c r="W239" s="185"/>
      <c r="X239" s="343"/>
      <c r="Y239" s="488"/>
      <c r="Z239" s="488"/>
      <c r="AA239" s="499"/>
      <c r="AB239" s="492"/>
      <c r="AC239" s="468" t="s">
        <v>141</v>
      </c>
      <c r="AD239" s="492"/>
      <c r="AE239" s="579"/>
      <c r="AF239" s="46"/>
      <c r="AG239" s="499"/>
    </row>
    <row r="240" spans="1:33" ht="30.6">
      <c r="A240" s="598"/>
      <c r="B240" s="246">
        <f t="shared" ref="B240:B246" si="19">B239+1</f>
        <v>203</v>
      </c>
      <c r="C240" s="592"/>
      <c r="E240" s="171" t="b">
        <v>0</v>
      </c>
      <c r="F240" s="3" t="s">
        <v>201</v>
      </c>
      <c r="H240" s="171" t="b">
        <v>0</v>
      </c>
      <c r="I240" s="180" t="s">
        <v>202</v>
      </c>
      <c r="J240" s="172" t="b">
        <v>0</v>
      </c>
      <c r="K240" s="173" t="s">
        <v>203</v>
      </c>
      <c r="L240" s="174" t="b">
        <v>0</v>
      </c>
      <c r="M240" s="8" t="s">
        <v>204</v>
      </c>
      <c r="N240" s="182"/>
      <c r="O240" s="174" t="b">
        <v>0</v>
      </c>
      <c r="P240" s="8" t="s">
        <v>205</v>
      </c>
      <c r="Q240" s="8"/>
      <c r="R240" s="581"/>
      <c r="S240" s="581"/>
      <c r="T240" s="581"/>
      <c r="U240" s="581"/>
      <c r="V240" s="581"/>
      <c r="W240" s="185"/>
      <c r="X240" s="175" t="b">
        <v>0</v>
      </c>
      <c r="Y240" s="176" t="s">
        <v>206</v>
      </c>
      <c r="Z240" s="500"/>
      <c r="AA240" s="14"/>
      <c r="AB240" s="467" t="b">
        <v>0</v>
      </c>
      <c r="AC240" s="340" t="s">
        <v>207</v>
      </c>
      <c r="AD240" s="14"/>
      <c r="AE240" s="579"/>
      <c r="AF240" s="45"/>
      <c r="AG240" s="14"/>
    </row>
    <row r="241" spans="1:33" ht="35.1" customHeight="1">
      <c r="A241" s="598"/>
      <c r="B241" s="246">
        <f t="shared" si="19"/>
        <v>204</v>
      </c>
      <c r="C241" s="592"/>
      <c r="E241" s="171" t="b">
        <v>0</v>
      </c>
      <c r="F241" s="168" t="s">
        <v>208</v>
      </c>
      <c r="H241" s="14"/>
      <c r="I241" s="180"/>
      <c r="J241" s="175" t="b">
        <v>0</v>
      </c>
      <c r="K241" s="594" t="s">
        <v>209</v>
      </c>
      <c r="L241" s="175" t="b">
        <v>0</v>
      </c>
      <c r="M241" s="176" t="s">
        <v>210</v>
      </c>
      <c r="N241" s="338">
        <v>44197</v>
      </c>
      <c r="O241" s="175" t="b">
        <v>0</v>
      </c>
      <c r="P241" s="176" t="s">
        <v>204</v>
      </c>
      <c r="Q241" s="176"/>
      <c r="R241" s="174" t="b">
        <v>0</v>
      </c>
      <c r="S241" s="8" t="s">
        <v>211</v>
      </c>
      <c r="T241" s="8" t="s">
        <v>140</v>
      </c>
      <c r="U241" s="175" t="b">
        <v>0</v>
      </c>
      <c r="V241" s="491" t="s">
        <v>212</v>
      </c>
      <c r="W241" s="184"/>
      <c r="X241" s="175" t="b">
        <v>0</v>
      </c>
      <c r="Y241" s="176" t="s">
        <v>213</v>
      </c>
      <c r="Z241" s="500"/>
      <c r="AA241" s="14"/>
      <c r="AB241" s="186"/>
      <c r="AC241" s="492" t="s">
        <v>142</v>
      </c>
      <c r="AD241" s="179"/>
      <c r="AE241" s="493" t="s">
        <v>214</v>
      </c>
      <c r="AF241" s="46"/>
      <c r="AG241" s="14"/>
    </row>
    <row r="242" spans="1:33" ht="17.100000000000001" customHeight="1">
      <c r="A242" s="598"/>
      <c r="B242" s="246">
        <f t="shared" si="19"/>
        <v>205</v>
      </c>
      <c r="C242" s="592"/>
      <c r="E242" s="171" t="b">
        <v>0</v>
      </c>
      <c r="F242" s="595" t="s">
        <v>229</v>
      </c>
      <c r="H242" s="171" t="b">
        <v>0</v>
      </c>
      <c r="I242" s="180" t="s">
        <v>216</v>
      </c>
      <c r="J242" s="176"/>
      <c r="K242" s="594"/>
      <c r="L242" s="174" t="b">
        <v>0</v>
      </c>
      <c r="M242" s="39" t="s">
        <v>217</v>
      </c>
      <c r="N242" s="523">
        <v>6</v>
      </c>
      <c r="O242" s="174" t="b">
        <v>0</v>
      </c>
      <c r="P242" s="8" t="s">
        <v>217</v>
      </c>
      <c r="Q242" s="523">
        <v>1</v>
      </c>
      <c r="R242" s="581"/>
      <c r="S242" s="581"/>
      <c r="T242" s="581"/>
      <c r="U242" s="590" t="s">
        <v>141</v>
      </c>
      <c r="V242" s="590"/>
      <c r="W242" s="590"/>
      <c r="X242" s="175" t="b">
        <v>0</v>
      </c>
      <c r="Y242" s="8" t="s">
        <v>218</v>
      </c>
      <c r="Z242" s="581"/>
      <c r="AA242" s="14"/>
      <c r="AB242" s="186"/>
      <c r="AC242" s="20"/>
      <c r="AD242" s="14"/>
      <c r="AE242" s="580"/>
      <c r="AF242" s="45"/>
      <c r="AG242" s="14"/>
    </row>
    <row r="243" spans="1:33" ht="29.45" customHeight="1">
      <c r="A243" s="598"/>
      <c r="B243" s="246">
        <f t="shared" si="19"/>
        <v>206</v>
      </c>
      <c r="C243" s="592"/>
      <c r="F243" s="595"/>
      <c r="H243" s="14"/>
      <c r="I243" s="14"/>
      <c r="J243" s="176"/>
      <c r="K243" s="8"/>
      <c r="L243" s="14"/>
      <c r="M243" s="14"/>
      <c r="N243" s="187"/>
      <c r="O243" s="8"/>
      <c r="P243" s="8"/>
      <c r="Q243" s="8"/>
      <c r="R243" s="581"/>
      <c r="S243" s="581"/>
      <c r="T243" s="581"/>
      <c r="U243" s="175" t="b">
        <v>0</v>
      </c>
      <c r="V243" s="176" t="s">
        <v>219</v>
      </c>
      <c r="W243" s="185"/>
      <c r="Y243" s="14"/>
      <c r="Z243" s="581"/>
      <c r="AA243" s="14"/>
      <c r="AB243" s="14"/>
      <c r="AC243" s="14"/>
      <c r="AD243" s="14"/>
      <c r="AE243" s="580"/>
      <c r="AF243" s="45"/>
      <c r="AG243" s="14"/>
    </row>
    <row r="244" spans="1:33" ht="30" customHeight="1">
      <c r="A244" s="598"/>
      <c r="B244" s="246">
        <f t="shared" si="19"/>
        <v>207</v>
      </c>
      <c r="C244" s="592"/>
      <c r="E244"/>
      <c r="H244" s="14"/>
      <c r="I244" s="14"/>
      <c r="J244" s="326"/>
      <c r="K244" s="182"/>
      <c r="L244" s="182"/>
      <c r="M244" s="182"/>
      <c r="N244" s="182"/>
      <c r="O244" s="8"/>
      <c r="P244" s="8"/>
      <c r="Q244" s="8"/>
      <c r="R244" s="174" t="b">
        <v>0</v>
      </c>
      <c r="S244" s="8" t="s">
        <v>220</v>
      </c>
      <c r="T244" s="8" t="s">
        <v>140</v>
      </c>
      <c r="U244" s="581"/>
      <c r="V244" s="581"/>
      <c r="Y244" s="14"/>
      <c r="Z244" s="322"/>
      <c r="AA244" s="14"/>
      <c r="AB244" s="14"/>
      <c r="AC244" s="14"/>
      <c r="AD244" s="14"/>
      <c r="AE244" s="14"/>
      <c r="AF244" s="45"/>
      <c r="AG244" s="14"/>
    </row>
    <row r="245" spans="1:33" ht="14.45" customHeight="1">
      <c r="A245" s="598"/>
      <c r="B245" s="246">
        <f t="shared" si="19"/>
        <v>208</v>
      </c>
      <c r="C245" s="592"/>
      <c r="E245"/>
      <c r="H245" s="181"/>
      <c r="I245" s="14"/>
      <c r="J245" s="326"/>
      <c r="K245" s="182"/>
      <c r="L245" s="182"/>
      <c r="M245" s="182"/>
      <c r="N245" s="182"/>
      <c r="O245" s="8"/>
      <c r="P245" s="8"/>
      <c r="Q245" s="8"/>
      <c r="R245" s="581"/>
      <c r="S245" s="581"/>
      <c r="T245" s="581"/>
      <c r="U245" s="175" t="b">
        <v>0</v>
      </c>
      <c r="V245" s="8" t="s">
        <v>221</v>
      </c>
      <c r="W245" s="8"/>
      <c r="Y245" s="14"/>
      <c r="Z245" s="322"/>
      <c r="AA245" s="14"/>
      <c r="AB245" s="14"/>
      <c r="AC245" s="14"/>
      <c r="AD245" s="14"/>
      <c r="AE245" s="14"/>
      <c r="AF245" s="45"/>
      <c r="AG245" s="14"/>
    </row>
    <row r="246" spans="1:33" ht="30" customHeight="1" thickBot="1">
      <c r="A246" s="599"/>
      <c r="B246" s="246">
        <f t="shared" si="19"/>
        <v>209</v>
      </c>
      <c r="C246" s="593"/>
      <c r="D246" s="47"/>
      <c r="E246" s="47"/>
      <c r="F246" s="47"/>
      <c r="G246" s="47"/>
      <c r="H246" s="48"/>
      <c r="I246" s="48"/>
      <c r="J246" s="327"/>
      <c r="K246" s="49"/>
      <c r="L246" s="49"/>
      <c r="M246" s="49"/>
      <c r="N246" s="49"/>
      <c r="O246" s="50"/>
      <c r="P246" s="50"/>
      <c r="Q246" s="50"/>
      <c r="R246" s="581"/>
      <c r="S246" s="581"/>
      <c r="T246" s="581"/>
      <c r="U246" s="581"/>
      <c r="V246" s="581"/>
      <c r="W246" s="50"/>
      <c r="X246" s="342"/>
      <c r="Y246" s="48"/>
      <c r="Z246" s="323"/>
      <c r="AA246" s="48"/>
      <c r="AB246" s="48"/>
      <c r="AC246" s="48"/>
      <c r="AD246" s="48"/>
      <c r="AE246" s="48"/>
      <c r="AF246" s="51"/>
      <c r="AG246" s="14"/>
    </row>
    <row r="247" spans="1:33" ht="5.0999999999999996" customHeight="1" thickBot="1">
      <c r="A247" s="79"/>
      <c r="B247" s="200"/>
      <c r="C247" s="332"/>
      <c r="D247" s="197"/>
      <c r="E247" s="197"/>
      <c r="F247" s="197"/>
      <c r="G247" s="197"/>
      <c r="H247" s="197"/>
      <c r="I247" s="197"/>
      <c r="J247" s="330"/>
      <c r="K247" s="197"/>
      <c r="L247" s="197"/>
      <c r="M247" s="197"/>
      <c r="N247" s="197"/>
      <c r="O247" s="197"/>
      <c r="P247" s="197"/>
      <c r="Q247" s="197"/>
      <c r="R247" s="197"/>
      <c r="S247" s="197"/>
      <c r="T247" s="197"/>
      <c r="U247" s="330"/>
      <c r="V247" s="197"/>
      <c r="W247" s="197"/>
      <c r="X247" s="330"/>
      <c r="Y247" s="197"/>
      <c r="Z247" s="331"/>
      <c r="AA247" s="197"/>
      <c r="AB247" s="197"/>
      <c r="AC247" s="197"/>
      <c r="AD247" s="197"/>
      <c r="AE247" s="197"/>
      <c r="AF247" s="261"/>
      <c r="AG247" s="79"/>
    </row>
    <row r="248" spans="1:33" hidden="1">
      <c r="A248" s="79"/>
      <c r="B248" s="200"/>
      <c r="C248" s="161"/>
      <c r="D248" s="27"/>
      <c r="E248" s="27"/>
      <c r="F248" s="27"/>
      <c r="G248" s="27"/>
      <c r="H248" s="27"/>
      <c r="I248" s="27"/>
      <c r="J248" s="28"/>
      <c r="K248" s="27"/>
      <c r="L248" s="27"/>
      <c r="M248" s="27"/>
      <c r="N248" s="27"/>
      <c r="O248" s="27"/>
      <c r="P248" s="27"/>
      <c r="Q248" s="27"/>
      <c r="R248" s="27"/>
      <c r="S248" s="27"/>
      <c r="T248" s="27"/>
      <c r="U248" s="28"/>
      <c r="V248" s="27"/>
      <c r="W248" s="27"/>
      <c r="X248" s="28"/>
      <c r="Y248" s="27"/>
      <c r="Z248" s="161"/>
      <c r="AA248" s="27"/>
      <c r="AB248" s="27"/>
      <c r="AC248" s="27"/>
      <c r="AD248" s="27"/>
      <c r="AE248" s="27"/>
      <c r="AF248" s="27"/>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3018" priority="1955">
      <formula>$H$14=TRUE</formula>
    </cfRule>
  </conditionalFormatting>
  <conditionalFormatting sqref="H24">
    <cfRule type="expression" dxfId="3017" priority="1950">
      <formula>$H$26=TRUE</formula>
    </cfRule>
  </conditionalFormatting>
  <conditionalFormatting sqref="H36">
    <cfRule type="expression" dxfId="3016" priority="1949">
      <formula>$H$38=TRUE</formula>
    </cfRule>
  </conditionalFormatting>
  <conditionalFormatting sqref="H38">
    <cfRule type="expression" dxfId="3015" priority="1947">
      <formula>$H$36=TRUE</formula>
    </cfRule>
  </conditionalFormatting>
  <conditionalFormatting sqref="H48">
    <cfRule type="expression" dxfId="3014" priority="1942">
      <formula>$H$50=TRUE</formula>
    </cfRule>
  </conditionalFormatting>
  <conditionalFormatting sqref="H60">
    <cfRule type="expression" dxfId="3013" priority="1938">
      <formula>$H$62=TRUE</formula>
    </cfRule>
  </conditionalFormatting>
  <conditionalFormatting sqref="H72">
    <cfRule type="expression" dxfId="3012" priority="1934">
      <formula>$H$74=TRUE</formula>
    </cfRule>
  </conditionalFormatting>
  <conditionalFormatting sqref="H84">
    <cfRule type="expression" dxfId="3011" priority="1932">
      <formula>$H$86=TRUE</formula>
    </cfRule>
  </conditionalFormatting>
  <conditionalFormatting sqref="H96">
    <cfRule type="expression" dxfId="3010" priority="1926">
      <formula>$H$98=TRUE</formula>
    </cfRule>
  </conditionalFormatting>
  <conditionalFormatting sqref="H108">
    <cfRule type="expression" dxfId="3009" priority="1922">
      <formula>$H$110=TRUE</formula>
    </cfRule>
  </conditionalFormatting>
  <conditionalFormatting sqref="H120">
    <cfRule type="expression" dxfId="3008" priority="1918">
      <formula>$H$122=TRUE</formula>
    </cfRule>
  </conditionalFormatting>
  <conditionalFormatting sqref="H132">
    <cfRule type="expression" dxfId="3007" priority="1916">
      <formula>$H$134=TRUE</formula>
    </cfRule>
  </conditionalFormatting>
  <conditionalFormatting sqref="H144">
    <cfRule type="expression" dxfId="3006" priority="1910">
      <formula>$H$146=TRUE</formula>
    </cfRule>
  </conditionalFormatting>
  <conditionalFormatting sqref="H156">
    <cfRule type="expression" dxfId="3005" priority="1905">
      <formula>$H$158=TRUE</formula>
    </cfRule>
  </conditionalFormatting>
  <conditionalFormatting sqref="H168">
    <cfRule type="expression" dxfId="3004" priority="1901">
      <formula>$H$170=TRUE</formula>
    </cfRule>
  </conditionalFormatting>
  <conditionalFormatting sqref="H180">
    <cfRule type="expression" dxfId="3003" priority="1899">
      <formula>$H$182=TRUE</formula>
    </cfRule>
  </conditionalFormatting>
  <conditionalFormatting sqref="H192">
    <cfRule type="expression" dxfId="3002" priority="1895">
      <formula>$H$194=TRUE</formula>
    </cfRule>
  </conditionalFormatting>
  <conditionalFormatting sqref="H204">
    <cfRule type="expression" dxfId="3001" priority="1890">
      <formula>$H$206=TRUE</formula>
    </cfRule>
  </conditionalFormatting>
  <conditionalFormatting sqref="H216">
    <cfRule type="expression" dxfId="3000" priority="1887">
      <formula>$H$218=TRUE</formula>
    </cfRule>
  </conditionalFormatting>
  <conditionalFormatting sqref="H228">
    <cfRule type="expression" dxfId="2999" priority="1883">
      <formula>$H$230=TRUE</formula>
    </cfRule>
  </conditionalFormatting>
  <conditionalFormatting sqref="H240">
    <cfRule type="expression" dxfId="2998" priority="1879">
      <formula>$H$242=TRUE</formula>
    </cfRule>
  </conditionalFormatting>
  <conditionalFormatting sqref="H10:I18">
    <cfRule type="expression" dxfId="2997" priority="1742">
      <formula>$E$12=FALSE</formula>
    </cfRule>
  </conditionalFormatting>
  <conditionalFormatting sqref="H14:I14">
    <cfRule type="expression" dxfId="2996" priority="1954">
      <formula>$H$12=TRUE</formula>
    </cfRule>
  </conditionalFormatting>
  <conditionalFormatting sqref="H22:I26">
    <cfRule type="expression" dxfId="2995" priority="1462">
      <formula>$E$24=FALSE</formula>
    </cfRule>
  </conditionalFormatting>
  <conditionalFormatting sqref="H26:I26">
    <cfRule type="expression" dxfId="2994" priority="1952">
      <formula>$H$24=TRUE</formula>
    </cfRule>
  </conditionalFormatting>
  <conditionalFormatting sqref="H34:I38">
    <cfRule type="expression" dxfId="2993" priority="1460">
      <formula>$E$36=FALSE</formula>
    </cfRule>
  </conditionalFormatting>
  <conditionalFormatting sqref="H46:I50">
    <cfRule type="expression" dxfId="2992" priority="1457">
      <formula>$E$48=FALSE</formula>
    </cfRule>
  </conditionalFormatting>
  <conditionalFormatting sqref="H50:I50">
    <cfRule type="expression" dxfId="2991" priority="1944">
      <formula>$H$48=TRUE</formula>
    </cfRule>
  </conditionalFormatting>
  <conditionalFormatting sqref="H58:I62">
    <cfRule type="expression" dxfId="2990" priority="1455">
      <formula>$E$60=FALSE</formula>
    </cfRule>
  </conditionalFormatting>
  <conditionalFormatting sqref="H62:I62">
    <cfRule type="expression" dxfId="2989" priority="1940">
      <formula>$H$60=TRUE</formula>
    </cfRule>
  </conditionalFormatting>
  <conditionalFormatting sqref="H70:I74">
    <cfRule type="expression" dxfId="2988" priority="1453">
      <formula>$E$72=FALSE</formula>
    </cfRule>
  </conditionalFormatting>
  <conditionalFormatting sqref="H74:I74">
    <cfRule type="expression" dxfId="2987" priority="1936">
      <formula>$H$72=TRUE</formula>
    </cfRule>
  </conditionalFormatting>
  <conditionalFormatting sqref="H82:I86">
    <cfRule type="expression" dxfId="2986" priority="6447">
      <formula>$E$84=FALSE</formula>
    </cfRule>
  </conditionalFormatting>
  <conditionalFormatting sqref="H86:I86">
    <cfRule type="expression" dxfId="2985" priority="1930">
      <formula>$H$84=TRUE</formula>
    </cfRule>
  </conditionalFormatting>
  <conditionalFormatting sqref="H94:I98">
    <cfRule type="expression" dxfId="2984" priority="1449">
      <formula>$E$96=FALSE</formula>
    </cfRule>
  </conditionalFormatting>
  <conditionalFormatting sqref="H98:I98">
    <cfRule type="expression" dxfId="2983" priority="1928">
      <formula>$H$96=TRUE</formula>
    </cfRule>
  </conditionalFormatting>
  <conditionalFormatting sqref="H106:I110">
    <cfRule type="expression" dxfId="2982" priority="1447">
      <formula>$E$108=FALSE</formula>
    </cfRule>
  </conditionalFormatting>
  <conditionalFormatting sqref="H110:I110">
    <cfRule type="expression" dxfId="2981" priority="1924">
      <formula>$H$108=TRUE</formula>
    </cfRule>
  </conditionalFormatting>
  <conditionalFormatting sqref="H118:I122">
    <cfRule type="expression" dxfId="2980" priority="1445">
      <formula>$E$120=FALSE</formula>
    </cfRule>
  </conditionalFormatting>
  <conditionalFormatting sqref="H122:I122">
    <cfRule type="expression" dxfId="2979" priority="1920">
      <formula>$H$120=TRUE</formula>
    </cfRule>
  </conditionalFormatting>
  <conditionalFormatting sqref="H130:I134">
    <cfRule type="expression" dxfId="2978" priority="1443">
      <formula>$E$132=FALSE</formula>
    </cfRule>
  </conditionalFormatting>
  <conditionalFormatting sqref="H134:I134">
    <cfRule type="expression" dxfId="2977" priority="1914">
      <formula>$H$132=TRUE</formula>
    </cfRule>
  </conditionalFormatting>
  <conditionalFormatting sqref="H142:I146">
    <cfRule type="expression" dxfId="2976" priority="1441">
      <formula>$E$144=FALSE</formula>
    </cfRule>
  </conditionalFormatting>
  <conditionalFormatting sqref="H146:I146">
    <cfRule type="expression" dxfId="2975" priority="1912">
      <formula>$H$144=TRUE</formula>
    </cfRule>
  </conditionalFormatting>
  <conditionalFormatting sqref="H154:I158">
    <cfRule type="expression" dxfId="2974" priority="1439">
      <formula>$E$156=FALSE</formula>
    </cfRule>
  </conditionalFormatting>
  <conditionalFormatting sqref="H158:I158">
    <cfRule type="expression" dxfId="2973" priority="1907">
      <formula>$H$156=TRUE</formula>
    </cfRule>
  </conditionalFormatting>
  <conditionalFormatting sqref="H166:I170">
    <cfRule type="expression" dxfId="2972" priority="1437">
      <formula>$E$168=FALSE</formula>
    </cfRule>
  </conditionalFormatting>
  <conditionalFormatting sqref="H170:I170">
    <cfRule type="expression" dxfId="2971" priority="1903">
      <formula>$H$168=TRUE</formula>
    </cfRule>
  </conditionalFormatting>
  <conditionalFormatting sqref="H178:I182">
    <cfRule type="expression" dxfId="2970" priority="1435">
      <formula>$E$180=FALSE</formula>
    </cfRule>
  </conditionalFormatting>
  <conditionalFormatting sqref="H182:I182">
    <cfRule type="expression" dxfId="2969" priority="1897">
      <formula>$H$180=TRUE</formula>
    </cfRule>
  </conditionalFormatting>
  <conditionalFormatting sqref="H190:I194">
    <cfRule type="expression" dxfId="2968" priority="1432">
      <formula>$E$192=FALSE</formula>
    </cfRule>
  </conditionalFormatting>
  <conditionalFormatting sqref="H194:I194">
    <cfRule type="expression" dxfId="2967" priority="1893">
      <formula>$H$192=TRUE</formula>
    </cfRule>
  </conditionalFormatting>
  <conditionalFormatting sqref="H202:I206">
    <cfRule type="expression" dxfId="2966" priority="1430">
      <formula>$E$204=FALSE</formula>
    </cfRule>
  </conditionalFormatting>
  <conditionalFormatting sqref="H206:I206">
    <cfRule type="expression" dxfId="2965" priority="1891">
      <formula>$H$204=TRUE</formula>
    </cfRule>
  </conditionalFormatting>
  <conditionalFormatting sqref="H214:I218">
    <cfRule type="expression" dxfId="2964" priority="1428">
      <formula>$E$216=FALSE</formula>
    </cfRule>
  </conditionalFormatting>
  <conditionalFormatting sqref="H218:I218">
    <cfRule type="expression" dxfId="2963" priority="1885">
      <formula>$H$216=TRUE</formula>
    </cfRule>
  </conditionalFormatting>
  <conditionalFormatting sqref="H226:I230">
    <cfRule type="expression" dxfId="2962" priority="1426">
      <formula>$E$228=FALSE</formula>
    </cfRule>
  </conditionalFormatting>
  <conditionalFormatting sqref="H230:I230">
    <cfRule type="expression" dxfId="2961" priority="1881">
      <formula>$H$228=TRUE</formula>
    </cfRule>
  </conditionalFormatting>
  <conditionalFormatting sqref="H238:I242">
    <cfRule type="expression" dxfId="2960" priority="1404">
      <formula>$E$240=FALSE</formula>
    </cfRule>
  </conditionalFormatting>
  <conditionalFormatting sqref="H242:I242">
    <cfRule type="expression" dxfId="2959" priority="1877">
      <formula>$H$240=TRUE</formula>
    </cfRule>
  </conditionalFormatting>
  <conditionalFormatting sqref="I12:I13">
    <cfRule type="expression" dxfId="2958" priority="1956">
      <formula>$H$14=TRUE</formula>
    </cfRule>
  </conditionalFormatting>
  <conditionalFormatting sqref="I24:I25">
    <cfRule type="expression" dxfId="2957" priority="1951">
      <formula>$H$26=TRUE</formula>
    </cfRule>
  </conditionalFormatting>
  <conditionalFormatting sqref="I36:I37">
    <cfRule type="expression" dxfId="2956" priority="2184">
      <formula>$H$38=TRUE</formula>
    </cfRule>
  </conditionalFormatting>
  <conditionalFormatting sqref="I38">
    <cfRule type="expression" dxfId="2955" priority="1946">
      <formula>TRUE=$H$36</formula>
    </cfRule>
  </conditionalFormatting>
  <conditionalFormatting sqref="I48:I49">
    <cfRule type="expression" dxfId="2954" priority="1943">
      <formula>$H$50=TRUE</formula>
    </cfRule>
  </conditionalFormatting>
  <conditionalFormatting sqref="I60:I61">
    <cfRule type="expression" dxfId="2953" priority="1939">
      <formula>$H$62=TRUE</formula>
    </cfRule>
  </conditionalFormatting>
  <conditionalFormatting sqref="I72:I73">
    <cfRule type="expression" dxfId="2952" priority="1935">
      <formula>$H$74=TRUE</formula>
    </cfRule>
  </conditionalFormatting>
  <conditionalFormatting sqref="I84:I85">
    <cfRule type="expression" dxfId="2951" priority="1933">
      <formula>$H$86=TRUE</formula>
    </cfRule>
  </conditionalFormatting>
  <conditionalFormatting sqref="I96:I97">
    <cfRule type="expression" dxfId="2950" priority="1927">
      <formula>$H$98=TRUE</formula>
    </cfRule>
  </conditionalFormatting>
  <conditionalFormatting sqref="I108:I109">
    <cfRule type="expression" dxfId="2949" priority="1923">
      <formula>$H$110=TRUE</formula>
    </cfRule>
  </conditionalFormatting>
  <conditionalFormatting sqref="I120:I121">
    <cfRule type="expression" dxfId="2948" priority="1919">
      <formula>$H$122=TRUE</formula>
    </cfRule>
  </conditionalFormatting>
  <conditionalFormatting sqref="I132:I133">
    <cfRule type="expression" dxfId="2947" priority="1917">
      <formula>$H$134=TRUE</formula>
    </cfRule>
  </conditionalFormatting>
  <conditionalFormatting sqref="I144:I145">
    <cfRule type="expression" dxfId="2946" priority="1911">
      <formula>$H$146=TRUE</formula>
    </cfRule>
  </conditionalFormatting>
  <conditionalFormatting sqref="I156:I157">
    <cfRule type="expression" dxfId="2945" priority="1906">
      <formula>$H$158=TRUE</formula>
    </cfRule>
  </conditionalFormatting>
  <conditionalFormatting sqref="I168:I169">
    <cfRule type="expression" dxfId="2944" priority="1902">
      <formula>$H$170=TRUE</formula>
    </cfRule>
  </conditionalFormatting>
  <conditionalFormatting sqref="I180:I181">
    <cfRule type="expression" dxfId="2943" priority="1900">
      <formula>$H$182=TRUE</formula>
    </cfRule>
  </conditionalFormatting>
  <conditionalFormatting sqref="I192:I193">
    <cfRule type="expression" dxfId="2942" priority="1896">
      <formula>$H$194=TRUE</formula>
    </cfRule>
  </conditionalFormatting>
  <conditionalFormatting sqref="I204:I205">
    <cfRule type="expression" dxfId="2941" priority="1889">
      <formula>$H$206=TRUE</formula>
    </cfRule>
  </conditionalFormatting>
  <conditionalFormatting sqref="I216:I217">
    <cfRule type="expression" dxfId="2940" priority="1888">
      <formula>$H$218=TRUE</formula>
    </cfRule>
  </conditionalFormatting>
  <conditionalFormatting sqref="I228:I229">
    <cfRule type="expression" dxfId="2939" priority="1884">
      <formula>$H$230=TRUE</formula>
    </cfRule>
  </conditionalFormatting>
  <conditionalFormatting sqref="I240:I241">
    <cfRule type="expression" dxfId="2938" priority="1880">
      <formula>$H$242=TRUE</formula>
    </cfRule>
  </conditionalFormatting>
  <conditionalFormatting sqref="J12">
    <cfRule type="expression" dxfId="2937" priority="3656">
      <formula>H14=TRUE</formula>
    </cfRule>
  </conditionalFormatting>
  <conditionalFormatting sqref="J13">
    <cfRule type="expression" dxfId="2936" priority="2033">
      <formula>$J$12=TRUE</formula>
    </cfRule>
    <cfRule type="expression" dxfId="2935" priority="3657">
      <formula>H14=TRUE</formula>
    </cfRule>
  </conditionalFormatting>
  <conditionalFormatting sqref="J24">
    <cfRule type="expression" dxfId="2934" priority="3589">
      <formula>H26=TRUE</formula>
    </cfRule>
  </conditionalFormatting>
  <conditionalFormatting sqref="J25">
    <cfRule type="expression" dxfId="2933" priority="2030">
      <formula>$J$24=TRUE</formula>
    </cfRule>
    <cfRule type="expression" dxfId="2932" priority="3590">
      <formula>H26=TRUE</formula>
    </cfRule>
  </conditionalFormatting>
  <conditionalFormatting sqref="J36">
    <cfRule type="expression" dxfId="2931" priority="3526">
      <formula>H38=TRUE</formula>
    </cfRule>
  </conditionalFormatting>
  <conditionalFormatting sqref="J37">
    <cfRule type="expression" dxfId="2930" priority="2028">
      <formula>$J$36=TRUE</formula>
    </cfRule>
    <cfRule type="expression" dxfId="2929" priority="3527">
      <formula>H38=TRUE</formula>
    </cfRule>
  </conditionalFormatting>
  <conditionalFormatting sqref="J48">
    <cfRule type="expression" dxfId="2928" priority="3464">
      <formula>H50=TRUE</formula>
    </cfRule>
  </conditionalFormatting>
  <conditionalFormatting sqref="J49">
    <cfRule type="expression" dxfId="2927" priority="2026">
      <formula>$J$48=TRUE</formula>
    </cfRule>
    <cfRule type="expression" dxfId="2926" priority="3465">
      <formula>H50=TRUE</formula>
    </cfRule>
  </conditionalFormatting>
  <conditionalFormatting sqref="J60">
    <cfRule type="expression" dxfId="2925" priority="3402">
      <formula>H62=TRUE</formula>
    </cfRule>
  </conditionalFormatting>
  <conditionalFormatting sqref="J61">
    <cfRule type="expression" dxfId="2924" priority="2024">
      <formula>$J$60=TRUE</formula>
    </cfRule>
    <cfRule type="expression" dxfId="2923" priority="3403">
      <formula>H62=TRUE</formula>
    </cfRule>
  </conditionalFormatting>
  <conditionalFormatting sqref="J72">
    <cfRule type="expression" dxfId="2922" priority="3340">
      <formula>H74=TRUE</formula>
    </cfRule>
  </conditionalFormatting>
  <conditionalFormatting sqref="J73">
    <cfRule type="expression" dxfId="2921" priority="2022">
      <formula>$J$72=TRUE</formula>
    </cfRule>
    <cfRule type="expression" dxfId="2920" priority="3341">
      <formula>H74=TRUE</formula>
    </cfRule>
  </conditionalFormatting>
  <conditionalFormatting sqref="J84">
    <cfRule type="expression" dxfId="2919" priority="3278">
      <formula>H86=TRUE</formula>
    </cfRule>
  </conditionalFormatting>
  <conditionalFormatting sqref="J85">
    <cfRule type="expression" dxfId="2918" priority="2020">
      <formula>$J$84=TRUE</formula>
    </cfRule>
    <cfRule type="expression" dxfId="2917" priority="3279">
      <formula>H86=TRUE</formula>
    </cfRule>
  </conditionalFormatting>
  <conditionalFormatting sqref="J96">
    <cfRule type="expression" dxfId="2916" priority="3216">
      <formula>H98=TRUE</formula>
    </cfRule>
  </conditionalFormatting>
  <conditionalFormatting sqref="J97">
    <cfRule type="expression" dxfId="2915" priority="2018">
      <formula>$J$96=TRUE</formula>
    </cfRule>
    <cfRule type="expression" dxfId="2914" priority="3217">
      <formula>H98=TRUE</formula>
    </cfRule>
  </conditionalFormatting>
  <conditionalFormatting sqref="J108">
    <cfRule type="expression" dxfId="2913" priority="3128">
      <formula>H110=TRUE</formula>
    </cfRule>
  </conditionalFormatting>
  <conditionalFormatting sqref="J109">
    <cfRule type="expression" dxfId="2912" priority="2016">
      <formula>$J$108=TRUE</formula>
    </cfRule>
    <cfRule type="expression" dxfId="2911" priority="3129">
      <formula>H110=TRUE</formula>
    </cfRule>
  </conditionalFormatting>
  <conditionalFormatting sqref="J120">
    <cfRule type="expression" dxfId="2910" priority="3066">
      <formula>H122=TRUE</formula>
    </cfRule>
  </conditionalFormatting>
  <conditionalFormatting sqref="J121">
    <cfRule type="expression" dxfId="2909" priority="2014">
      <formula>$J$120=TRUE</formula>
    </cfRule>
    <cfRule type="expression" dxfId="2908" priority="3067">
      <formula>H122=TRUE</formula>
    </cfRule>
  </conditionalFormatting>
  <conditionalFormatting sqref="J132">
    <cfRule type="expression" dxfId="2907" priority="3004">
      <formula>H134=TRUE</formula>
    </cfRule>
  </conditionalFormatting>
  <conditionalFormatting sqref="J133">
    <cfRule type="expression" dxfId="2906" priority="2012">
      <formula>$J$132=TRUE</formula>
    </cfRule>
    <cfRule type="expression" dxfId="2905" priority="3005">
      <formula>H134=TRUE</formula>
    </cfRule>
  </conditionalFormatting>
  <conditionalFormatting sqref="J145">
    <cfRule type="expression" dxfId="2904" priority="2010">
      <formula>$J$144=TRUE</formula>
    </cfRule>
    <cfRule type="expression" dxfId="2903" priority="2943">
      <formula>H146=TRUE</formula>
    </cfRule>
  </conditionalFormatting>
  <conditionalFormatting sqref="J156">
    <cfRule type="expression" dxfId="2902" priority="2880">
      <formula>H158=TRUE</formula>
    </cfRule>
  </conditionalFormatting>
  <conditionalFormatting sqref="J157">
    <cfRule type="expression" dxfId="2901" priority="2008">
      <formula>$J$156=TRUE</formula>
    </cfRule>
    <cfRule type="expression" dxfId="2900" priority="2881">
      <formula>H158=TRUE</formula>
    </cfRule>
  </conditionalFormatting>
  <conditionalFormatting sqref="J168">
    <cfRule type="expression" dxfId="2899" priority="2818">
      <formula>H170=TRUE</formula>
    </cfRule>
  </conditionalFormatting>
  <conditionalFormatting sqref="J169">
    <cfRule type="expression" dxfId="2898" priority="2006">
      <formula>$J$168=TRUE</formula>
    </cfRule>
    <cfRule type="expression" dxfId="2897" priority="2819">
      <formula>H170=TRUE</formula>
    </cfRule>
  </conditionalFormatting>
  <conditionalFormatting sqref="J180">
    <cfRule type="expression" dxfId="2896" priority="2756">
      <formula>H182=TRUE</formula>
    </cfRule>
  </conditionalFormatting>
  <conditionalFormatting sqref="J181">
    <cfRule type="expression" dxfId="2895" priority="2004">
      <formula>$J$180=TRUE</formula>
    </cfRule>
    <cfRule type="expression" dxfId="2894" priority="2757">
      <formula>H182=TRUE</formula>
    </cfRule>
  </conditionalFormatting>
  <conditionalFormatting sqref="J192">
    <cfRule type="expression" dxfId="2893" priority="2694">
      <formula>H194=TRUE</formula>
    </cfRule>
  </conditionalFormatting>
  <conditionalFormatting sqref="J193">
    <cfRule type="expression" dxfId="2892" priority="2002">
      <formula>$J$192=TRUE</formula>
    </cfRule>
    <cfRule type="expression" dxfId="2891" priority="2695">
      <formula>H194=TRUE</formula>
    </cfRule>
  </conditionalFormatting>
  <conditionalFormatting sqref="J204">
    <cfRule type="expression" dxfId="2890" priority="2632">
      <formula>H206=TRUE</formula>
    </cfRule>
  </conditionalFormatting>
  <conditionalFormatting sqref="J205">
    <cfRule type="expression" dxfId="2889" priority="2001">
      <formula>$J$204=TRUE</formula>
    </cfRule>
    <cfRule type="expression" dxfId="2888" priority="2633">
      <formula>H206=TRUE</formula>
    </cfRule>
  </conditionalFormatting>
  <conditionalFormatting sqref="J216">
    <cfRule type="expression" dxfId="2887" priority="2570">
      <formula>H218=TRUE</formula>
    </cfRule>
  </conditionalFormatting>
  <conditionalFormatting sqref="J217">
    <cfRule type="expression" dxfId="2886" priority="1998">
      <formula>$J$216=TRUE</formula>
    </cfRule>
    <cfRule type="expression" dxfId="2885" priority="2571">
      <formula>H218=TRUE</formula>
    </cfRule>
  </conditionalFormatting>
  <conditionalFormatting sqref="J228">
    <cfRule type="expression" dxfId="2884" priority="2508">
      <formula>H230=TRUE</formula>
    </cfRule>
  </conditionalFormatting>
  <conditionalFormatting sqref="J229">
    <cfRule type="expression" dxfId="2883" priority="1996">
      <formula>$J$228=TRUE</formula>
    </cfRule>
    <cfRule type="expression" dxfId="2882" priority="2509">
      <formula>H230=TRUE</formula>
    </cfRule>
  </conditionalFormatting>
  <conditionalFormatting sqref="J240">
    <cfRule type="expression" dxfId="2881" priority="2446">
      <formula>H242=TRUE</formula>
    </cfRule>
  </conditionalFormatting>
  <conditionalFormatting sqref="J241">
    <cfRule type="expression" dxfId="2880" priority="1994">
      <formula>$J$240=TRUE</formula>
    </cfRule>
    <cfRule type="expression" dxfId="2879" priority="2447">
      <formula>H242=TRUE</formula>
    </cfRule>
  </conditionalFormatting>
  <conditionalFormatting sqref="J3:K3">
    <cfRule type="expression" dxfId="2878" priority="6449">
      <formula>OR(H14,H26,H38,H50,H62,H74,H86,H98,H110,H122,H134,H146,H158,H170,H182,H194,H206,H218,H230,H242)</formula>
    </cfRule>
  </conditionalFormatting>
  <conditionalFormatting sqref="J10:K11 J82:K83">
    <cfRule type="expression" dxfId="2877" priority="3547">
      <formula>H14=TRUE</formula>
    </cfRule>
  </conditionalFormatting>
  <conditionalFormatting sqref="J12:K12">
    <cfRule type="expression" dxfId="2876" priority="1992">
      <formula>$J$13=TRUE</formula>
    </cfRule>
  </conditionalFormatting>
  <conditionalFormatting sqref="J22:K23">
    <cfRule type="expression" dxfId="2875" priority="3546">
      <formula>H26=TRUE</formula>
    </cfRule>
  </conditionalFormatting>
  <conditionalFormatting sqref="J24:K24">
    <cfRule type="expression" dxfId="2874" priority="1990">
      <formula>$J$25=TRUE</formula>
    </cfRule>
  </conditionalFormatting>
  <conditionalFormatting sqref="J34:K35">
    <cfRule type="expression" dxfId="2873" priority="3484">
      <formula>H38=TRUE</formula>
    </cfRule>
  </conditionalFormatting>
  <conditionalFormatting sqref="J36:K36">
    <cfRule type="expression" dxfId="2872" priority="1988">
      <formula>$J$37=TRUE</formula>
    </cfRule>
  </conditionalFormatting>
  <conditionalFormatting sqref="J46:K47">
    <cfRule type="expression" dxfId="2871" priority="3422">
      <formula>H50=TRUE</formula>
    </cfRule>
  </conditionalFormatting>
  <conditionalFormatting sqref="J48:K48">
    <cfRule type="expression" dxfId="2870" priority="1986">
      <formula>$J$49=TRUE</formula>
    </cfRule>
  </conditionalFormatting>
  <conditionalFormatting sqref="J58:K59">
    <cfRule type="expression" dxfId="2869" priority="3360">
      <formula>H62=TRUE</formula>
    </cfRule>
  </conditionalFormatting>
  <conditionalFormatting sqref="J60:K60">
    <cfRule type="expression" dxfId="2868" priority="1984">
      <formula>$J$61=TRUE</formula>
    </cfRule>
  </conditionalFormatting>
  <conditionalFormatting sqref="J70:K71">
    <cfRule type="expression" dxfId="2867" priority="3298">
      <formula>H74=TRUE</formula>
    </cfRule>
  </conditionalFormatting>
  <conditionalFormatting sqref="J72:K72">
    <cfRule type="expression" dxfId="2866" priority="1982">
      <formula>$J$73=TRUE</formula>
    </cfRule>
  </conditionalFormatting>
  <conditionalFormatting sqref="J84:K84">
    <cfRule type="expression" dxfId="2865" priority="105">
      <formula>$J$85=TRUE</formula>
    </cfRule>
  </conditionalFormatting>
  <conditionalFormatting sqref="J94:K95">
    <cfRule type="expression" dxfId="2864" priority="3174">
      <formula>H98=TRUE</formula>
    </cfRule>
  </conditionalFormatting>
  <conditionalFormatting sqref="J96:K96">
    <cfRule type="expression" dxfId="2863" priority="1980">
      <formula>$J$97=TRUE</formula>
    </cfRule>
  </conditionalFormatting>
  <conditionalFormatting sqref="J106:K107">
    <cfRule type="expression" dxfId="2862" priority="3092">
      <formula>H110=TRUE</formula>
    </cfRule>
  </conditionalFormatting>
  <conditionalFormatting sqref="J108:K108">
    <cfRule type="expression" dxfId="2861" priority="1978">
      <formula>$J$109=TRUE</formula>
    </cfRule>
  </conditionalFormatting>
  <conditionalFormatting sqref="J118:K119">
    <cfRule type="expression" dxfId="2860" priority="3030">
      <formula>H122=TRUE</formula>
    </cfRule>
  </conditionalFormatting>
  <conditionalFormatting sqref="J120:K120">
    <cfRule type="expression" dxfId="2859" priority="1976">
      <formula>$J$121=TRUE</formula>
    </cfRule>
  </conditionalFormatting>
  <conditionalFormatting sqref="J130:K131">
    <cfRule type="expression" dxfId="2858" priority="2968">
      <formula>H134=TRUE</formula>
    </cfRule>
  </conditionalFormatting>
  <conditionalFormatting sqref="J132:K132">
    <cfRule type="expression" dxfId="2857" priority="1974">
      <formula>$J$133=TRUE</formula>
    </cfRule>
  </conditionalFormatting>
  <conditionalFormatting sqref="J142:K143">
    <cfRule type="expression" dxfId="2856" priority="2906">
      <formula>H146=TRUE</formula>
    </cfRule>
  </conditionalFormatting>
  <conditionalFormatting sqref="J144:K144">
    <cfRule type="expression" dxfId="2855" priority="97">
      <formula>$H$146=FALSE</formula>
    </cfRule>
    <cfRule type="expression" dxfId="2854" priority="2942">
      <formula>$J$145=TRUE</formula>
    </cfRule>
  </conditionalFormatting>
  <conditionalFormatting sqref="J154:K155">
    <cfRule type="expression" dxfId="2853" priority="2844">
      <formula>H158=TRUE</formula>
    </cfRule>
  </conditionalFormatting>
  <conditionalFormatting sqref="J156:K156">
    <cfRule type="expression" dxfId="2852" priority="1972">
      <formula>$J$157=TRUE</formula>
    </cfRule>
  </conditionalFormatting>
  <conditionalFormatting sqref="J166:K167">
    <cfRule type="expression" dxfId="2851" priority="2782">
      <formula>H170=TRUE</formula>
    </cfRule>
  </conditionalFormatting>
  <conditionalFormatting sqref="J168:K168">
    <cfRule type="expression" dxfId="2850" priority="1970">
      <formula>$J$169=TRUE</formula>
    </cfRule>
  </conditionalFormatting>
  <conditionalFormatting sqref="J178:K179">
    <cfRule type="expression" dxfId="2849" priority="2720">
      <formula>H182=TRUE</formula>
    </cfRule>
  </conditionalFormatting>
  <conditionalFormatting sqref="J180:K180">
    <cfRule type="expression" dxfId="2848" priority="1968">
      <formula>$J$181=TRUE</formula>
    </cfRule>
  </conditionalFormatting>
  <conditionalFormatting sqref="J190:K191">
    <cfRule type="expression" dxfId="2847" priority="2658">
      <formula>H194=TRUE</formula>
    </cfRule>
  </conditionalFormatting>
  <conditionalFormatting sqref="J192:K192">
    <cfRule type="expression" dxfId="2846" priority="1966">
      <formula>$J$193=TRUE</formula>
    </cfRule>
  </conditionalFormatting>
  <conditionalFormatting sqref="J202:K203">
    <cfRule type="expression" dxfId="2845" priority="2596">
      <formula>H206=TRUE</formula>
    </cfRule>
  </conditionalFormatting>
  <conditionalFormatting sqref="J204:K204">
    <cfRule type="expression" dxfId="2844" priority="1964">
      <formula>$J$205=TRUE</formula>
    </cfRule>
  </conditionalFormatting>
  <conditionalFormatting sqref="J214:K215">
    <cfRule type="expression" dxfId="2843" priority="2534">
      <formula>H218=TRUE</formula>
    </cfRule>
  </conditionalFormatting>
  <conditionalFormatting sqref="J216:K216">
    <cfRule type="expression" dxfId="2842" priority="1962">
      <formula>$J$217=TRUE</formula>
    </cfRule>
  </conditionalFormatting>
  <conditionalFormatting sqref="J226:K227">
    <cfRule type="expression" dxfId="2841" priority="2472">
      <formula>H230=TRUE</formula>
    </cfRule>
  </conditionalFormatting>
  <conditionalFormatting sqref="J228:K228">
    <cfRule type="expression" dxfId="2840" priority="1960">
      <formula>$J$229=TRUE</formula>
    </cfRule>
  </conditionalFormatting>
  <conditionalFormatting sqref="J238:K239">
    <cfRule type="expression" dxfId="2839" priority="2410">
      <formula>H242=TRUE</formula>
    </cfRule>
  </conditionalFormatting>
  <conditionalFormatting sqref="J240:K240">
    <cfRule type="expression" dxfId="2838" priority="1958">
      <formula>$J$241=TRUE</formula>
    </cfRule>
  </conditionalFormatting>
  <conditionalFormatting sqref="K12">
    <cfRule type="expression" dxfId="2837" priority="3660">
      <formula>H14=TRUE</formula>
    </cfRule>
  </conditionalFormatting>
  <conditionalFormatting sqref="K13:K14">
    <cfRule type="expression" dxfId="2836" priority="2032">
      <formula>$J$12=TRUE</formula>
    </cfRule>
    <cfRule type="expression" dxfId="2835" priority="3659">
      <formula>H14=TRUE</formula>
    </cfRule>
  </conditionalFormatting>
  <conditionalFormatting sqref="K24">
    <cfRule type="expression" dxfId="2834" priority="3592">
      <formula>H26=TRUE</formula>
    </cfRule>
  </conditionalFormatting>
  <conditionalFormatting sqref="K25:K26">
    <cfRule type="expression" dxfId="2833" priority="2031">
      <formula>$J$24=TRUE</formula>
    </cfRule>
    <cfRule type="expression" dxfId="2832" priority="3591">
      <formula>H26=TRUE</formula>
    </cfRule>
  </conditionalFormatting>
  <conditionalFormatting sqref="K36">
    <cfRule type="expression" dxfId="2831" priority="3529">
      <formula>H38=TRUE</formula>
    </cfRule>
  </conditionalFormatting>
  <conditionalFormatting sqref="K37:K38">
    <cfRule type="expression" dxfId="2830" priority="2029">
      <formula>$J$36=TRUE</formula>
    </cfRule>
    <cfRule type="expression" dxfId="2829" priority="3528">
      <formula>H38=TRUE</formula>
    </cfRule>
  </conditionalFormatting>
  <conditionalFormatting sqref="K48">
    <cfRule type="expression" dxfId="2828" priority="3467">
      <formula>H50=TRUE</formula>
    </cfRule>
  </conditionalFormatting>
  <conditionalFormatting sqref="K49:K50">
    <cfRule type="expression" dxfId="2827" priority="2027">
      <formula>$J$48=TRUE</formula>
    </cfRule>
    <cfRule type="expression" dxfId="2826" priority="3466">
      <formula>H50=TRUE</formula>
    </cfRule>
  </conditionalFormatting>
  <conditionalFormatting sqref="K60">
    <cfRule type="expression" dxfId="2825" priority="3405">
      <formula>H62=TRUE</formula>
    </cfRule>
  </conditionalFormatting>
  <conditionalFormatting sqref="K61:K62">
    <cfRule type="expression" dxfId="2824" priority="2025">
      <formula>$J$60=TRUE</formula>
    </cfRule>
    <cfRule type="expression" dxfId="2823" priority="3404">
      <formula>H62=TRUE</formula>
    </cfRule>
  </conditionalFormatting>
  <conditionalFormatting sqref="K72">
    <cfRule type="expression" dxfId="2822" priority="3343">
      <formula>H74=TRUE</formula>
    </cfRule>
  </conditionalFormatting>
  <conditionalFormatting sqref="K73:K74">
    <cfRule type="expression" dxfId="2821" priority="2023">
      <formula>$J$72</formula>
    </cfRule>
    <cfRule type="expression" dxfId="2820" priority="3342">
      <formula>H74=TRUE</formula>
    </cfRule>
  </conditionalFormatting>
  <conditionalFormatting sqref="K84">
    <cfRule type="expression" dxfId="2819" priority="3281">
      <formula>H86=TRUE</formula>
    </cfRule>
  </conditionalFormatting>
  <conditionalFormatting sqref="K85:K86">
    <cfRule type="expression" dxfId="2818" priority="2021">
      <formula>$J$84=TRUE</formula>
    </cfRule>
    <cfRule type="expression" dxfId="2817" priority="3280">
      <formula>H86=TRUE</formula>
    </cfRule>
  </conditionalFormatting>
  <conditionalFormatting sqref="K96">
    <cfRule type="expression" dxfId="2816" priority="3219">
      <formula>H98=TRUE</formula>
    </cfRule>
  </conditionalFormatting>
  <conditionalFormatting sqref="K97:K98">
    <cfRule type="expression" dxfId="2815" priority="2019">
      <formula>$J$96=TRUE</formula>
    </cfRule>
    <cfRule type="expression" dxfId="2814" priority="3218">
      <formula>H98=TRUE</formula>
    </cfRule>
  </conditionalFormatting>
  <conditionalFormatting sqref="K108">
    <cfRule type="expression" dxfId="2813" priority="3131">
      <formula>H110=TRUE</formula>
    </cfRule>
  </conditionalFormatting>
  <conditionalFormatting sqref="K109:K110">
    <cfRule type="expression" dxfId="2812" priority="2017">
      <formula>$J$108=TRUE</formula>
    </cfRule>
    <cfRule type="expression" dxfId="2811" priority="3130">
      <formula>H110=TRUE</formula>
    </cfRule>
  </conditionalFormatting>
  <conditionalFormatting sqref="K120">
    <cfRule type="expression" dxfId="2810" priority="3069">
      <formula>H122=TRUE</formula>
    </cfRule>
  </conditionalFormatting>
  <conditionalFormatting sqref="K121:K122">
    <cfRule type="expression" dxfId="2809" priority="2015">
      <formula>$J$120=TRUE</formula>
    </cfRule>
    <cfRule type="expression" dxfId="2808" priority="3068">
      <formula>H122=TRUE</formula>
    </cfRule>
  </conditionalFormatting>
  <conditionalFormatting sqref="K132">
    <cfRule type="expression" dxfId="2807" priority="3007">
      <formula>H134=TRUE</formula>
    </cfRule>
  </conditionalFormatting>
  <conditionalFormatting sqref="K133:K134">
    <cfRule type="expression" dxfId="2806" priority="2013">
      <formula>$J$132=TRUE</formula>
    </cfRule>
    <cfRule type="expression" dxfId="2805" priority="3006">
      <formula>H134=TRUE</formula>
    </cfRule>
  </conditionalFormatting>
  <conditionalFormatting sqref="K145:K146">
    <cfRule type="expression" dxfId="2804" priority="2011">
      <formula>$J$144=TRUE</formula>
    </cfRule>
    <cfRule type="expression" dxfId="2803" priority="2944">
      <formula>H146=TRUE</formula>
    </cfRule>
  </conditionalFormatting>
  <conditionalFormatting sqref="K156">
    <cfRule type="expression" dxfId="2802" priority="2883">
      <formula>H158=TRUE</formula>
    </cfRule>
  </conditionalFormatting>
  <conditionalFormatting sqref="K157:K158">
    <cfRule type="expression" dxfId="2801" priority="2009">
      <formula>$J$156=TRUE</formula>
    </cfRule>
    <cfRule type="expression" dxfId="2800" priority="2882">
      <formula>H158=TRUE</formula>
    </cfRule>
  </conditionalFormatting>
  <conditionalFormatting sqref="K168">
    <cfRule type="expression" dxfId="2799" priority="2821">
      <formula>H170=TRUE</formula>
    </cfRule>
  </conditionalFormatting>
  <conditionalFormatting sqref="K169:K170">
    <cfRule type="expression" dxfId="2798" priority="2007">
      <formula>$J$168=TRUE</formula>
    </cfRule>
    <cfRule type="expression" dxfId="2797" priority="2820">
      <formula>H170=TRUE</formula>
    </cfRule>
  </conditionalFormatting>
  <conditionalFormatting sqref="K180">
    <cfRule type="expression" dxfId="2796" priority="2759">
      <formula>H182=TRUE</formula>
    </cfRule>
  </conditionalFormatting>
  <conditionalFormatting sqref="K181:K182">
    <cfRule type="expression" dxfId="2795" priority="2005">
      <formula>$J$180=TRUE</formula>
    </cfRule>
    <cfRule type="expression" dxfId="2794" priority="2758">
      <formula>H182=TRUE</formula>
    </cfRule>
  </conditionalFormatting>
  <conditionalFormatting sqref="K192">
    <cfRule type="expression" dxfId="2793" priority="2697">
      <formula>H194=TRUE</formula>
    </cfRule>
  </conditionalFormatting>
  <conditionalFormatting sqref="K193:K194">
    <cfRule type="expression" dxfId="2792" priority="2003">
      <formula>$J$192=TRUE</formula>
    </cfRule>
    <cfRule type="expression" dxfId="2791" priority="2696">
      <formula>H194=TRUE</formula>
    </cfRule>
  </conditionalFormatting>
  <conditionalFormatting sqref="K204">
    <cfRule type="expression" dxfId="2790" priority="2635">
      <formula>H206=TRUE</formula>
    </cfRule>
  </conditionalFormatting>
  <conditionalFormatting sqref="K205:K206">
    <cfRule type="expression" dxfId="2789" priority="2000">
      <formula>$J$204=TRUE</formula>
    </cfRule>
    <cfRule type="expression" dxfId="2788" priority="2634">
      <formula>H206=TRUE</formula>
    </cfRule>
  </conditionalFormatting>
  <conditionalFormatting sqref="K216">
    <cfRule type="expression" dxfId="2787" priority="2573">
      <formula>H218=TRUE</formula>
    </cfRule>
  </conditionalFormatting>
  <conditionalFormatting sqref="K217:K218">
    <cfRule type="expression" dxfId="2786" priority="1999">
      <formula>$J$216=TRUE</formula>
    </cfRule>
    <cfRule type="expression" dxfId="2785" priority="2572">
      <formula>H218=TRUE</formula>
    </cfRule>
  </conditionalFormatting>
  <conditionalFormatting sqref="K228">
    <cfRule type="expression" dxfId="2784" priority="2511">
      <formula>H230=TRUE</formula>
    </cfRule>
  </conditionalFormatting>
  <conditionalFormatting sqref="K229:K230">
    <cfRule type="expression" dxfId="2783" priority="1997">
      <formula>$J$228=TRUE</formula>
    </cfRule>
    <cfRule type="expression" dxfId="2782" priority="2510">
      <formula>H230=TRUE</formula>
    </cfRule>
  </conditionalFormatting>
  <conditionalFormatting sqref="K240">
    <cfRule type="expression" dxfId="2781" priority="2449">
      <formula>H242=TRUE</formula>
    </cfRule>
  </conditionalFormatting>
  <conditionalFormatting sqref="K241:K242">
    <cfRule type="expression" dxfId="2780" priority="1995">
      <formula>$J$240=TRUE</formula>
    </cfRule>
    <cfRule type="expression" dxfId="2779" priority="2448">
      <formula>H242=TRUE</formula>
    </cfRule>
  </conditionalFormatting>
  <conditionalFormatting sqref="L12 L24 L36 L48 L60 L72 L84 L96 L108 L120 L132 L144 L156 L168 L180 L192 L204 L216 L228 L240">
    <cfRule type="expression" dxfId="2778" priority="4011">
      <formula>AND(H14=TRUE,J12=TRUE)</formula>
    </cfRule>
  </conditionalFormatting>
  <conditionalFormatting sqref="L13 L25 L37 L49 L61 L73 L85 L97 L109 L121 L133 L145 L157 L169 L229 L241 L217 L205 L193 L181">
    <cfRule type="expression" dxfId="2777" priority="4012">
      <formula>AND(H14=TRUE,J12=TRUE)</formula>
    </cfRule>
  </conditionalFormatting>
  <conditionalFormatting sqref="L14 L26 L38 L50 L62 L74 L86 L98 L110 L122 L134 L146 L158 L170 L230 L242 L218 L206 L194 L182">
    <cfRule type="expression" dxfId="2776" priority="4013">
      <formula>AND(H14=TRUE,J12=TRUE)</formula>
    </cfRule>
  </conditionalFormatting>
  <conditionalFormatting sqref="L12:M12">
    <cfRule type="expression" dxfId="2775" priority="1850">
      <formula>$L$13=TRUE</formula>
    </cfRule>
  </conditionalFormatting>
  <conditionalFormatting sqref="L24:M24 L26:M26">
    <cfRule type="expression" dxfId="2774" priority="1829">
      <formula>$L$25=TRUE</formula>
    </cfRule>
  </conditionalFormatting>
  <conditionalFormatting sqref="L36:M36 L38:M38">
    <cfRule type="expression" dxfId="2773" priority="1828">
      <formula>$L$37=TRUE</formula>
    </cfRule>
  </conditionalFormatting>
  <conditionalFormatting sqref="L48:M48 L50:M50">
    <cfRule type="expression" dxfId="2772" priority="1827">
      <formula>$L$49=TRUE</formula>
    </cfRule>
  </conditionalFormatting>
  <conditionalFormatting sqref="L60:M60 L62:M62">
    <cfRule type="expression" dxfId="2771" priority="1826">
      <formula>$L$61=TRUE</formula>
    </cfRule>
  </conditionalFormatting>
  <conditionalFormatting sqref="L72:M72 L74:N74">
    <cfRule type="expression" dxfId="2770" priority="1825">
      <formula>$L$73=TRUE</formula>
    </cfRule>
  </conditionalFormatting>
  <conditionalFormatting sqref="L84:M84 L86:N86">
    <cfRule type="expression" dxfId="2769" priority="1824">
      <formula>$L$85=TRUE</formula>
    </cfRule>
  </conditionalFormatting>
  <conditionalFormatting sqref="L96:M96 L98:N98">
    <cfRule type="expression" dxfId="2768" priority="1823">
      <formula>$L$97=TRUE</formula>
    </cfRule>
  </conditionalFormatting>
  <conditionalFormatting sqref="L108:M108 L110:N110">
    <cfRule type="expression" dxfId="2767" priority="1822">
      <formula>$L$109=TRUE</formula>
    </cfRule>
  </conditionalFormatting>
  <conditionalFormatting sqref="L120:M120 L122:N122">
    <cfRule type="expression" dxfId="2766" priority="1821">
      <formula>$L$121=TRUE</formula>
    </cfRule>
  </conditionalFormatting>
  <conditionalFormatting sqref="L132:M132 L134:N134">
    <cfRule type="expression" dxfId="2765" priority="1820">
      <formula>$L$133=TRUE</formula>
    </cfRule>
  </conditionalFormatting>
  <conditionalFormatting sqref="L144:M144 L146:N146">
    <cfRule type="expression" dxfId="2764" priority="1819">
      <formula>$L$145=TRUE</formula>
    </cfRule>
  </conditionalFormatting>
  <conditionalFormatting sqref="L156:M156 L158:N158">
    <cfRule type="expression" dxfId="2763" priority="1818">
      <formula>$L$157=TRUE</formula>
    </cfRule>
  </conditionalFormatting>
  <conditionalFormatting sqref="L168:M168 L170:N170">
    <cfRule type="expression" dxfId="2762" priority="1817">
      <formula>$L$169=TRUE</formula>
    </cfRule>
  </conditionalFormatting>
  <conditionalFormatting sqref="L180:M180 L182:N182">
    <cfRule type="expression" dxfId="2761" priority="1816">
      <formula>$L$181=TRUE</formula>
    </cfRule>
  </conditionalFormatting>
  <conditionalFormatting sqref="L192:M192 L194:N194">
    <cfRule type="expression" dxfId="2760" priority="1815">
      <formula>$L$193=TRUE</formula>
    </cfRule>
  </conditionalFormatting>
  <conditionalFormatting sqref="L204:M204 L206:N206">
    <cfRule type="expression" dxfId="2759" priority="1814">
      <formula>$L$205=TRUE</formula>
    </cfRule>
  </conditionalFormatting>
  <conditionalFormatting sqref="L216:M216 L218:N218">
    <cfRule type="expression" dxfId="2758" priority="1813">
      <formula>$L$217=TRUE</formula>
    </cfRule>
  </conditionalFormatting>
  <conditionalFormatting sqref="L228:M228 L230:N230">
    <cfRule type="expression" dxfId="2757" priority="1812">
      <formula>$L$229=TRUE</formula>
    </cfRule>
  </conditionalFormatting>
  <conditionalFormatting sqref="L240:M240 L242:N242">
    <cfRule type="expression" dxfId="2756" priority="1811">
      <formula>$L$241=TRUE</formula>
    </cfRule>
  </conditionalFormatting>
  <conditionalFormatting sqref="L3:N3">
    <cfRule type="expression" dxfId="2755"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54" priority="1851">
      <formula>$L$14=TRUE</formula>
    </cfRule>
  </conditionalFormatting>
  <conditionalFormatting sqref="L13:N15">
    <cfRule type="expression" dxfId="2753" priority="1871">
      <formula>$L$12=TRUE</formula>
    </cfRule>
  </conditionalFormatting>
  <conditionalFormatting sqref="L14:N14">
    <cfRule type="expression" dxfId="2752" priority="1849">
      <formula>$L$13=TRUE</formula>
    </cfRule>
  </conditionalFormatting>
  <conditionalFormatting sqref="L22:N23 L10:N11 L34:N35 L46:N47 L58:N59 L70:N71 L82:N83 L94:N95 L106:N107 L118:N119 L130:N131 L142:N143 L154:N155 L166:N167 L178:N179 L190:N191 L202:N203 L214:N215 L238:N239">
    <cfRule type="expression" dxfId="2751" priority="6354">
      <formula>AND(H14=TRUE,J12=TRUE)</formula>
    </cfRule>
  </conditionalFormatting>
  <conditionalFormatting sqref="L24:N25">
    <cfRule type="expression" dxfId="2750" priority="1848">
      <formula>$L$26=TRUE</formula>
    </cfRule>
  </conditionalFormatting>
  <conditionalFormatting sqref="L25:N27">
    <cfRule type="expression" dxfId="2749" priority="1870">
      <formula>$L$24=TRUE</formula>
    </cfRule>
  </conditionalFormatting>
  <conditionalFormatting sqref="L36:N37">
    <cfRule type="expression" dxfId="2748" priority="1847">
      <formula>$L$38=TRUE</formula>
    </cfRule>
  </conditionalFormatting>
  <conditionalFormatting sqref="L37:N39">
    <cfRule type="expression" dxfId="2747" priority="1869">
      <formula>$L$36=TRUE</formula>
    </cfRule>
  </conditionalFormatting>
  <conditionalFormatting sqref="L48:N49">
    <cfRule type="expression" dxfId="2746" priority="1846">
      <formula>$L$50=TRUE</formula>
    </cfRule>
  </conditionalFormatting>
  <conditionalFormatting sqref="L49:N51">
    <cfRule type="expression" dxfId="2745" priority="1868">
      <formula>$L$48=TRUE</formula>
    </cfRule>
  </conditionalFormatting>
  <conditionalFormatting sqref="L60:N61">
    <cfRule type="expression" dxfId="2744" priority="1845">
      <formula>$L$62=TRUE</formula>
    </cfRule>
  </conditionalFormatting>
  <conditionalFormatting sqref="L61:N63">
    <cfRule type="expression" dxfId="2743" priority="1867">
      <formula>$L$60=TRUE</formula>
    </cfRule>
  </conditionalFormatting>
  <conditionalFormatting sqref="L72:N73">
    <cfRule type="expression" dxfId="2742" priority="1844">
      <formula>$L$74=TRUE</formula>
    </cfRule>
  </conditionalFormatting>
  <conditionalFormatting sqref="L73:N75">
    <cfRule type="expression" dxfId="2741" priority="1866">
      <formula>$L$72=TRUE</formula>
    </cfRule>
  </conditionalFormatting>
  <conditionalFormatting sqref="L84:N85">
    <cfRule type="expression" dxfId="2740" priority="1843">
      <formula>$L$86=TRUE</formula>
    </cfRule>
  </conditionalFormatting>
  <conditionalFormatting sqref="L85:N87">
    <cfRule type="expression" dxfId="2739" priority="1865">
      <formula>$L$84=TRUE</formula>
    </cfRule>
  </conditionalFormatting>
  <conditionalFormatting sqref="L96:N97">
    <cfRule type="expression" dxfId="2738" priority="1842">
      <formula>$L$98=TRUE</formula>
    </cfRule>
  </conditionalFormatting>
  <conditionalFormatting sqref="L97:N100">
    <cfRule type="expression" dxfId="2737" priority="1864">
      <formula>$L$96=TRUE</formula>
    </cfRule>
  </conditionalFormatting>
  <conditionalFormatting sqref="L108:N109">
    <cfRule type="expression" dxfId="2736" priority="1841">
      <formula>$L$110=TRUE</formula>
    </cfRule>
  </conditionalFormatting>
  <conditionalFormatting sqref="L109:N111">
    <cfRule type="expression" dxfId="2735" priority="1863">
      <formula>$L$108=TRUE</formula>
    </cfRule>
  </conditionalFormatting>
  <conditionalFormatting sqref="L120:N121">
    <cfRule type="expression" dxfId="2734" priority="1840">
      <formula>$L$122=TRUE</formula>
    </cfRule>
  </conditionalFormatting>
  <conditionalFormatting sqref="L121:N124">
    <cfRule type="expression" dxfId="2733" priority="1862">
      <formula>$L$120=TRUE</formula>
    </cfRule>
  </conditionalFormatting>
  <conditionalFormatting sqref="L132:N133">
    <cfRule type="expression" dxfId="2732" priority="1839">
      <formula>$L$134=TRUE</formula>
    </cfRule>
  </conditionalFormatting>
  <conditionalFormatting sqref="L133:N136">
    <cfRule type="expression" dxfId="2731" priority="1861">
      <formula>$L$132=TRUE</formula>
    </cfRule>
  </conditionalFormatting>
  <conditionalFormatting sqref="L144:N145">
    <cfRule type="expression" dxfId="2730" priority="1838">
      <formula>$L$146=TRUE</formula>
    </cfRule>
  </conditionalFormatting>
  <conditionalFormatting sqref="L145:N148">
    <cfRule type="expression" dxfId="2729" priority="1860">
      <formula>$L$144=TRUE</formula>
    </cfRule>
  </conditionalFormatting>
  <conditionalFormatting sqref="L156:N157">
    <cfRule type="expression" dxfId="2728" priority="1837">
      <formula>$L$158=TRUE</formula>
    </cfRule>
  </conditionalFormatting>
  <conditionalFormatting sqref="L157:N160">
    <cfRule type="expression" dxfId="2727" priority="1859">
      <formula>$L$156=TRUE</formula>
    </cfRule>
  </conditionalFormatting>
  <conditionalFormatting sqref="L168:N169">
    <cfRule type="expression" dxfId="2726" priority="1836">
      <formula>$L$170=TRUE</formula>
    </cfRule>
  </conditionalFormatting>
  <conditionalFormatting sqref="L169:N172">
    <cfRule type="expression" dxfId="2725" priority="1858">
      <formula>$L$168=TRUE</formula>
    </cfRule>
  </conditionalFormatting>
  <conditionalFormatting sqref="L180:N181">
    <cfRule type="expression" dxfId="2724" priority="1835">
      <formula>$L$182=TRUE</formula>
    </cfRule>
  </conditionalFormatting>
  <conditionalFormatting sqref="L181:N184">
    <cfRule type="expression" dxfId="2723" priority="1852">
      <formula>$L$180=TRUE</formula>
    </cfRule>
  </conditionalFormatting>
  <conditionalFormatting sqref="L192:N193">
    <cfRule type="expression" dxfId="2722" priority="1834">
      <formula>$L$194=TRUE</formula>
    </cfRule>
  </conditionalFormatting>
  <conditionalFormatting sqref="L193:N196">
    <cfRule type="expression" dxfId="2721" priority="1853">
      <formula>$L$192=TRUE</formula>
    </cfRule>
  </conditionalFormatting>
  <conditionalFormatting sqref="L204:N205">
    <cfRule type="expression" dxfId="2720" priority="1833">
      <formula>$L$206=TRUE</formula>
    </cfRule>
  </conditionalFormatting>
  <conditionalFormatting sqref="L205:N208">
    <cfRule type="expression" dxfId="2719" priority="1854">
      <formula>$L$204=TRUE</formula>
    </cfRule>
  </conditionalFormatting>
  <conditionalFormatting sqref="L216:N217">
    <cfRule type="expression" dxfId="2718" priority="1832">
      <formula>$L$218=TRUE</formula>
    </cfRule>
  </conditionalFormatting>
  <conditionalFormatting sqref="L217:N219">
    <cfRule type="expression" dxfId="2717" priority="1855">
      <formula>$L$216=TRUE</formula>
    </cfRule>
  </conditionalFormatting>
  <conditionalFormatting sqref="L226:N227">
    <cfRule type="expression" dxfId="2716" priority="4072">
      <formula>AND(H230=TRUE,J228=TRUE)</formula>
    </cfRule>
  </conditionalFormatting>
  <conditionalFormatting sqref="L228:N229">
    <cfRule type="expression" dxfId="2715" priority="1831">
      <formula>$L$230=TRUE</formula>
    </cfRule>
  </conditionalFormatting>
  <conditionalFormatting sqref="L229:N232">
    <cfRule type="expression" dxfId="2714" priority="1857">
      <formula>$L$228=TRUE</formula>
    </cfRule>
  </conditionalFormatting>
  <conditionalFormatting sqref="L240:N241">
    <cfRule type="expression" dxfId="2713" priority="1830">
      <formula>$L$242=TRUE</formula>
    </cfRule>
  </conditionalFormatting>
  <conditionalFormatting sqref="L241:N243">
    <cfRule type="expression" dxfId="2712" priority="1856">
      <formula>$L$240=TRUE</formula>
    </cfRule>
  </conditionalFormatting>
  <conditionalFormatting sqref="M12 M24 M36 M48 M60 M72 M84 M96 M108 M120 M132 M144 M156 M168 M180 M192 M204 M216 M228 M240">
    <cfRule type="expression" dxfId="2711" priority="4092">
      <formula>AND(H14=TRUE,J12=TRUE)</formula>
    </cfRule>
  </conditionalFormatting>
  <conditionalFormatting sqref="M13 M25 M37 M49 M61 M73 M85 M97 M109 M121 M133 M145 M157 M169 M229 M241 M217 M205 M193 M181">
    <cfRule type="expression" dxfId="2710" priority="4093">
      <formula>AND(H14=TRUE,J12=TRUE)</formula>
    </cfRule>
  </conditionalFormatting>
  <conditionalFormatting sqref="M14 M26 M38 M50 M62 M74 M86 M98 M110 M122 M134 M146 M158 M170 M230 M242 M218 M206 M194 M182">
    <cfRule type="expression" dxfId="2709" priority="4094">
      <formula>AND(H14=TRUE,J12=TRUE)</formula>
    </cfRule>
  </conditionalFormatting>
  <conditionalFormatting sqref="N13 N25 N37 N49 N61 N73 N85 N97 N109 N121 N133 N145 N157 N169 N229 N241 N217 N205 N193 N181">
    <cfRule type="expression" dxfId="2708" priority="4868">
      <formula>AND(L13=TRUE,H14=TRUE,J12=TRUE)</formula>
    </cfRule>
  </conditionalFormatting>
  <conditionalFormatting sqref="N14 N26 N38 N50 N62 N74 N86 N98 N110 N122 N134 N146 N158 N170 N230 N242 N218 N206 N194 N182">
    <cfRule type="expression" dxfId="2707" priority="4888">
      <formula>AND(L14=TRUE,H14=TRUE,J12=TRUE)</formula>
    </cfRule>
  </conditionalFormatting>
  <conditionalFormatting sqref="O12 O24 O36 O48 O60 O72 O84 O96 O108 O120 O132 O144 O156 O168 O192 O204 O216 O228 O240 O180">
    <cfRule type="expression" dxfId="2706" priority="4192">
      <formula>AND(H14=TRUE,J12=TRUE)</formula>
    </cfRule>
  </conditionalFormatting>
  <conditionalFormatting sqref="O13 O25 O37 O49 O61 O73 O85 O97 O109 O121 O133 O145 O157 O169 O181 O193 O205 O217 O229 O241">
    <cfRule type="expression" dxfId="2705" priority="4193">
      <formula>AND(H14=TRUE,J12=TRUE)</formula>
    </cfRule>
  </conditionalFormatting>
  <conditionalFormatting sqref="O14 O26 O38 O50 O62 O74 O86 O98 O110 O122 O134 O146 O158 O170 O182 O194 O206 O218 O230 O242">
    <cfRule type="expression" dxfId="2704" priority="4194">
      <formula>AND(H14=TRUE,J12=TRUE)</formula>
    </cfRule>
  </conditionalFormatting>
  <conditionalFormatting sqref="O12:P12 O14:Q14">
    <cfRule type="expression" dxfId="2703" priority="1808">
      <formula>$O$13=TRUE</formula>
    </cfRule>
  </conditionalFormatting>
  <conditionalFormatting sqref="O12:P13">
    <cfRule type="expression" dxfId="2702" priority="1788">
      <formula>$O$14=TRUE</formula>
    </cfRule>
  </conditionalFormatting>
  <conditionalFormatting sqref="O24:P24 O26:Q26">
    <cfRule type="expression" dxfId="2701" priority="1750">
      <formula>$O$25=TRUE</formula>
    </cfRule>
  </conditionalFormatting>
  <conditionalFormatting sqref="O24:P25">
    <cfRule type="expression" dxfId="2700" priority="1787">
      <formula>$O$26=TRUE</formula>
    </cfRule>
  </conditionalFormatting>
  <conditionalFormatting sqref="O36:P36 O38:Q38">
    <cfRule type="expression" dxfId="2699" priority="1751">
      <formula>$O$37=TRUE</formula>
    </cfRule>
  </conditionalFormatting>
  <conditionalFormatting sqref="O36:P37">
    <cfRule type="expression" dxfId="2698" priority="1786">
      <formula>$O$38=TRUE</formula>
    </cfRule>
  </conditionalFormatting>
  <conditionalFormatting sqref="O48:P48 O50:Q50">
    <cfRule type="expression" dxfId="2697" priority="1752">
      <formula>$O$49=TRUE</formula>
    </cfRule>
  </conditionalFormatting>
  <conditionalFormatting sqref="O48:P49">
    <cfRule type="expression" dxfId="2696" priority="1785">
      <formula>$O$50=TRUE</formula>
    </cfRule>
  </conditionalFormatting>
  <conditionalFormatting sqref="O60:P60 O62:Q62">
    <cfRule type="expression" dxfId="2695" priority="1753">
      <formula>$O$61=TRUE</formula>
    </cfRule>
  </conditionalFormatting>
  <conditionalFormatting sqref="O60:P61">
    <cfRule type="expression" dxfId="2694" priority="1784">
      <formula>$O$62=TRUE</formula>
    </cfRule>
  </conditionalFormatting>
  <conditionalFormatting sqref="O72:P72 O74:Q74">
    <cfRule type="expression" dxfId="2693" priority="1754">
      <formula>$O$73=TRUE</formula>
    </cfRule>
  </conditionalFormatting>
  <conditionalFormatting sqref="O72:P73">
    <cfRule type="expression" dxfId="2692" priority="1783">
      <formula>$O$74=TRUE</formula>
    </cfRule>
  </conditionalFormatting>
  <conditionalFormatting sqref="O84:P84 O86:Q86">
    <cfRule type="expression" dxfId="2691" priority="1755">
      <formula>$O$85=TRUE</formula>
    </cfRule>
  </conditionalFormatting>
  <conditionalFormatting sqref="O84:P85">
    <cfRule type="expression" dxfId="2690" priority="1782">
      <formula>$O$86=TRUE</formula>
    </cfRule>
  </conditionalFormatting>
  <conditionalFormatting sqref="O96:P96 O98:Q98">
    <cfRule type="expression" dxfId="2689" priority="1756">
      <formula>$O$97=TRUE</formula>
    </cfRule>
  </conditionalFormatting>
  <conditionalFormatting sqref="O96:P97">
    <cfRule type="expression" dxfId="2688" priority="1781">
      <formula>$O$98=TRUE</formula>
    </cfRule>
  </conditionalFormatting>
  <conditionalFormatting sqref="O108:P108 O110:Q110">
    <cfRule type="expression" dxfId="2687" priority="1757">
      <formula>$O$109=TRUE</formula>
    </cfRule>
  </conditionalFormatting>
  <conditionalFormatting sqref="O108:P109">
    <cfRule type="expression" dxfId="2686" priority="1780">
      <formula>$O$110=TRUE</formula>
    </cfRule>
  </conditionalFormatting>
  <conditionalFormatting sqref="O120:P120 O122:Q122">
    <cfRule type="expression" dxfId="2685" priority="1758">
      <formula>$O$121=TRUE</formula>
    </cfRule>
  </conditionalFormatting>
  <conditionalFormatting sqref="O120:P121">
    <cfRule type="expression" dxfId="2684" priority="1779">
      <formula>$O$122=TRUE</formula>
    </cfRule>
  </conditionalFormatting>
  <conditionalFormatting sqref="O132:P132 O134:Q134">
    <cfRule type="expression" dxfId="2683" priority="1759">
      <formula>$O$133=TRUE</formula>
    </cfRule>
  </conditionalFormatting>
  <conditionalFormatting sqref="O132:P133">
    <cfRule type="expression" dxfId="2682" priority="1778">
      <formula>$O$134=TRUE</formula>
    </cfRule>
  </conditionalFormatting>
  <conditionalFormatting sqref="O144:P144 O146:Q146">
    <cfRule type="expression" dxfId="2681" priority="1760">
      <formula>$O$145=TRUE</formula>
    </cfRule>
  </conditionalFormatting>
  <conditionalFormatting sqref="O144:P145">
    <cfRule type="expression" dxfId="2680" priority="1777">
      <formula>$O$146=TRUE</formula>
    </cfRule>
  </conditionalFormatting>
  <conditionalFormatting sqref="O156:P156 O158:Q158">
    <cfRule type="expression" dxfId="2679" priority="1761">
      <formula>$O$157=TRUE</formula>
    </cfRule>
  </conditionalFormatting>
  <conditionalFormatting sqref="O156:P157">
    <cfRule type="expression" dxfId="2678" priority="1776">
      <formula>$O$158=TRUE</formula>
    </cfRule>
  </conditionalFormatting>
  <conditionalFormatting sqref="O168:P168 O170:Q170">
    <cfRule type="expression" dxfId="2677" priority="1762">
      <formula>$O$169=TRUE</formula>
    </cfRule>
  </conditionalFormatting>
  <conditionalFormatting sqref="O168:P169">
    <cfRule type="expression" dxfId="2676" priority="1775">
      <formula>$O$170=TRUE</formula>
    </cfRule>
  </conditionalFormatting>
  <conditionalFormatting sqref="O180:P180 O182:Q182">
    <cfRule type="expression" dxfId="2675" priority="1763">
      <formula>$O$181=TRUE</formula>
    </cfRule>
  </conditionalFormatting>
  <conditionalFormatting sqref="O180:P181">
    <cfRule type="expression" dxfId="2674" priority="1766">
      <formula>$O$182=TRUE</formula>
    </cfRule>
  </conditionalFormatting>
  <conditionalFormatting sqref="O192:P192 O194:Q194">
    <cfRule type="expression" dxfId="2673" priority="1764">
      <formula>$O$193=TRUE</formula>
    </cfRule>
  </conditionalFormatting>
  <conditionalFormatting sqref="O192:P193">
    <cfRule type="expression" dxfId="2672" priority="1774">
      <formula>$O$194=TRUE</formula>
    </cfRule>
  </conditionalFormatting>
  <conditionalFormatting sqref="O204:P204 O206:Q206">
    <cfRule type="expression" dxfId="2671" priority="1765">
      <formula>$O$205=TRUE</formula>
    </cfRule>
  </conditionalFormatting>
  <conditionalFormatting sqref="O204:P205">
    <cfRule type="expression" dxfId="2670" priority="1773">
      <formula>$O$206=TRUE</formula>
    </cfRule>
  </conditionalFormatting>
  <conditionalFormatting sqref="O216:P216 O218:Q218">
    <cfRule type="expression" dxfId="2669" priority="1767">
      <formula>$O$217=TRUE</formula>
    </cfRule>
  </conditionalFormatting>
  <conditionalFormatting sqref="O216:P217">
    <cfRule type="expression" dxfId="2668" priority="1772">
      <formula>$O$218=TRUE</formula>
    </cfRule>
  </conditionalFormatting>
  <conditionalFormatting sqref="O228:P228 O230:Q230">
    <cfRule type="expression" dxfId="2667" priority="1768">
      <formula>$O$229=TRUE</formula>
    </cfRule>
  </conditionalFormatting>
  <conditionalFormatting sqref="O228:P229">
    <cfRule type="expression" dxfId="2666" priority="1771">
      <formula>$O$230=TRUE</formula>
    </cfRule>
  </conditionalFormatting>
  <conditionalFormatting sqref="O240:P240 O242:Q242">
    <cfRule type="expression" dxfId="2665" priority="1769">
      <formula>$O$241=TRUE</formula>
    </cfRule>
  </conditionalFormatting>
  <conditionalFormatting sqref="O240:P241">
    <cfRule type="expression" dxfId="2664" priority="1770">
      <formula>$O$242=TRUE</formula>
    </cfRule>
  </conditionalFormatting>
  <conditionalFormatting sqref="O3:Q3">
    <cfRule type="expression" dxfId="2663"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62" priority="1810">
      <formula>$O$12=TRUE</formula>
    </cfRule>
  </conditionalFormatting>
  <conditionalFormatting sqref="O22:Q23 O10:Q11 O34:Q35 O46:Q47 O58:Q59 O70:Q71 O82:Q83 O94:Q95 O106:Q107 O118:Q119 O130:Q131 O142:Q143 O154:Q155 O166:Q167 O178:Q179 O190:Q191 O202:Q203 O214:Q215 O238:Q239">
    <cfRule type="expression" dxfId="2661" priority="6375">
      <formula>AND(H14=TRUE,J12=TRUE)</formula>
    </cfRule>
  </conditionalFormatting>
  <conditionalFormatting sqref="O25:Q27">
    <cfRule type="expression" dxfId="2660" priority="1807">
      <formula>$O$24=TRUE</formula>
    </cfRule>
  </conditionalFormatting>
  <conditionalFormatting sqref="O37:Q39">
    <cfRule type="expression" dxfId="2659" priority="1806">
      <formula>$O$36=TRUE</formula>
    </cfRule>
  </conditionalFormatting>
  <conditionalFormatting sqref="O49:Q52">
    <cfRule type="expression" dxfId="2658" priority="1805">
      <formula>$O$48=TRUE</formula>
    </cfRule>
  </conditionalFormatting>
  <conditionalFormatting sqref="O61:Q64">
    <cfRule type="expression" dxfId="2657" priority="1804">
      <formula>$O$60=TRUE</formula>
    </cfRule>
  </conditionalFormatting>
  <conditionalFormatting sqref="O73:Q76">
    <cfRule type="expression" dxfId="2656" priority="1803">
      <formula>$O$72=TRUE</formula>
    </cfRule>
  </conditionalFormatting>
  <conditionalFormatting sqref="O85:Q88">
    <cfRule type="expression" dxfId="2655" priority="1802">
      <formula>$O$84=TRUE</formula>
    </cfRule>
  </conditionalFormatting>
  <conditionalFormatting sqref="O97:Q100">
    <cfRule type="expression" dxfId="2654" priority="1801">
      <formula>$O$96=TRUE</formula>
    </cfRule>
  </conditionalFormatting>
  <conditionalFormatting sqref="O109:Q112">
    <cfRule type="expression" dxfId="2653" priority="1800">
      <formula>$O$108=TRUE</formula>
    </cfRule>
  </conditionalFormatting>
  <conditionalFormatting sqref="O121:Q124">
    <cfRule type="expression" dxfId="2652" priority="1799">
      <formula>$O$120=TRUE</formula>
    </cfRule>
  </conditionalFormatting>
  <conditionalFormatting sqref="O133:Q136">
    <cfRule type="expression" dxfId="2651" priority="1798">
      <formula>$O$132=TRUE</formula>
    </cfRule>
  </conditionalFormatting>
  <conditionalFormatting sqref="O145:Q148">
    <cfRule type="expression" dxfId="2650" priority="1797">
      <formula>$O$144=TRUE</formula>
    </cfRule>
  </conditionalFormatting>
  <conditionalFormatting sqref="O157:Q160">
    <cfRule type="expression" dxfId="2649" priority="1796">
      <formula>$O$156=TRUE</formula>
    </cfRule>
  </conditionalFormatting>
  <conditionalFormatting sqref="O169:Q172">
    <cfRule type="expression" dxfId="2648" priority="1795">
      <formula>$O$168=TRUE</formula>
    </cfRule>
  </conditionalFormatting>
  <conditionalFormatting sqref="O181:Q184">
    <cfRule type="expression" dxfId="2647" priority="1794">
      <formula>$O$180=TRUE</formula>
    </cfRule>
  </conditionalFormatting>
  <conditionalFormatting sqref="O193:Q196">
    <cfRule type="expression" dxfId="2646" priority="1793">
      <formula>$O$192=TRUE</formula>
    </cfRule>
  </conditionalFormatting>
  <conditionalFormatting sqref="O205:Q208">
    <cfRule type="expression" dxfId="2645" priority="1792">
      <formula>$O$204=TRUE</formula>
    </cfRule>
  </conditionalFormatting>
  <conditionalFormatting sqref="O217:Q220">
    <cfRule type="expression" dxfId="2644" priority="1791">
      <formula>$O$216=TRUE</formula>
    </cfRule>
  </conditionalFormatting>
  <conditionalFormatting sqref="O226:Q227">
    <cfRule type="expression" dxfId="2643" priority="4253">
      <formula>AND(H230=TRUE,J228=TRUE)</formula>
    </cfRule>
  </conditionalFormatting>
  <conditionalFormatting sqref="O229:Q232">
    <cfRule type="expression" dxfId="2642" priority="1790">
      <formula>$O$228=TRUE</formula>
    </cfRule>
  </conditionalFormatting>
  <conditionalFormatting sqref="O241:Q244">
    <cfRule type="expression" dxfId="2641" priority="1789">
      <formula>$O$240=TRUE</formula>
    </cfRule>
  </conditionalFormatting>
  <conditionalFormatting sqref="P12 P24 P36 P48 P60 P72 P84 P96 P108 P120 P132 P144 P156 P168 P192 P204 P216 P228 P240 P180">
    <cfRule type="expression" dxfId="2640" priority="4273">
      <formula>AND(H14=TRUE,J12=TRUE)</formula>
    </cfRule>
  </conditionalFormatting>
  <conditionalFormatting sqref="P13 P25 P37 P49 P61 P73 P85 P97 P109 P121 P133 P145 P157 P169 P181 P193 P205 P217 P229 P241">
    <cfRule type="expression" dxfId="2639" priority="4274">
      <formula>AND(H14=TRUE,J12=TRUE)</formula>
    </cfRule>
  </conditionalFormatting>
  <conditionalFormatting sqref="P14 P26 P38 P50 P62 P74 P86 P98 P110 P122 P134 P146 P158 P170 P182 P194 P206 P218 P230 P242">
    <cfRule type="expression" dxfId="2638" priority="4275">
      <formula>AND(H14=TRUE,J12=TRUE)</formula>
    </cfRule>
  </conditionalFormatting>
  <conditionalFormatting sqref="Q14 Q26 Q38 Q50 Q62 Q74 Q86 Q98 Q110 Q122 Q134 Q146 Q158 Q170 Q182 Q194 Q206 Q218 Q230 Q242">
    <cfRule type="expression" dxfId="2637" priority="5899">
      <formula>AND(H14=TRUE,J12=TRUE,O14=TRUE)</formula>
    </cfRule>
  </conditionalFormatting>
  <conditionalFormatting sqref="R3">
    <cfRule type="expression" dxfId="2636"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635" priority="6332">
      <formula>AND(H14=TRUE,J12=TRUE)</formula>
    </cfRule>
  </conditionalFormatting>
  <conditionalFormatting sqref="R13">
    <cfRule type="expression" dxfId="2634" priority="6564">
      <formula>AND(H14=TRUE,J12=TRUE)</formula>
    </cfRule>
  </conditionalFormatting>
  <conditionalFormatting sqref="R22:R23">
    <cfRule type="expression" dxfId="2633" priority="564">
      <formula>AND(H26=TRUE,J24=TRUE)</formula>
    </cfRule>
  </conditionalFormatting>
  <conditionalFormatting sqref="R25">
    <cfRule type="expression" dxfId="2632" priority="566">
      <formula>AND(H26=TRUE,J24=TRUE)</formula>
    </cfRule>
  </conditionalFormatting>
  <conditionalFormatting sqref="R28 R16 R40 R52 R64 R76 R88 R100 R112 R124 R136 R148 R160 R172 R184 R196 R220 R232 R244">
    <cfRule type="expression" dxfId="2631" priority="6314">
      <formula>AND(H14=TRUE,J12=TRUE)</formula>
    </cfRule>
  </conditionalFormatting>
  <conditionalFormatting sqref="R34:R35">
    <cfRule type="expression" dxfId="2630" priority="544">
      <formula>AND(H38=TRUE,J36=TRUE)</formula>
    </cfRule>
  </conditionalFormatting>
  <conditionalFormatting sqref="R37">
    <cfRule type="expression" dxfId="2629" priority="546">
      <formula>AND(H38=TRUE,J36=TRUE)</formula>
    </cfRule>
  </conditionalFormatting>
  <conditionalFormatting sqref="R46:R47">
    <cfRule type="expression" dxfId="2628" priority="525">
      <formula>AND(H50=TRUE,J48=TRUE)</formula>
    </cfRule>
  </conditionalFormatting>
  <conditionalFormatting sqref="R49">
    <cfRule type="expression" dxfId="2627" priority="527">
      <formula>AND(H50=TRUE,J48=TRUE)</formula>
    </cfRule>
  </conditionalFormatting>
  <conditionalFormatting sqref="R58:R59">
    <cfRule type="expression" dxfId="2626" priority="506">
      <formula>AND(H62=TRUE,J60=TRUE)</formula>
    </cfRule>
  </conditionalFormatting>
  <conditionalFormatting sqref="R61">
    <cfRule type="expression" dxfId="2625" priority="508">
      <formula>AND(H62=TRUE,J60=TRUE)</formula>
    </cfRule>
  </conditionalFormatting>
  <conditionalFormatting sqref="R70:R71">
    <cfRule type="expression" dxfId="2624" priority="487">
      <formula>AND(H74=TRUE,J72=TRUE)</formula>
    </cfRule>
  </conditionalFormatting>
  <conditionalFormatting sqref="R73">
    <cfRule type="expression" dxfId="2623" priority="489">
      <formula>AND(H74=TRUE,J72=TRUE)</formula>
    </cfRule>
  </conditionalFormatting>
  <conditionalFormatting sqref="R85">
    <cfRule type="expression" dxfId="2622" priority="470">
      <formula>AND(H86=TRUE,J84=TRUE)</formula>
    </cfRule>
  </conditionalFormatting>
  <conditionalFormatting sqref="R94:R95">
    <cfRule type="expression" dxfId="2621" priority="453">
      <formula>AND(H98=TRUE,J96=TRUE)</formula>
    </cfRule>
  </conditionalFormatting>
  <conditionalFormatting sqref="R97">
    <cfRule type="expression" dxfId="2620" priority="455">
      <formula>AND(H98=TRUE,J96=TRUE)</formula>
    </cfRule>
  </conditionalFormatting>
  <conditionalFormatting sqref="R106:R107">
    <cfRule type="expression" dxfId="2619" priority="434">
      <formula>AND(H110=TRUE,J108=TRUE)</formula>
    </cfRule>
  </conditionalFormatting>
  <conditionalFormatting sqref="R109">
    <cfRule type="expression" dxfId="2618" priority="436">
      <formula>AND(H110=TRUE,J108=TRUE)</formula>
    </cfRule>
  </conditionalFormatting>
  <conditionalFormatting sqref="R118:R119">
    <cfRule type="expression" dxfId="2617" priority="415">
      <formula>AND(H122=TRUE,J120=TRUE)</formula>
    </cfRule>
  </conditionalFormatting>
  <conditionalFormatting sqref="R121">
    <cfRule type="expression" dxfId="2616" priority="417">
      <formula>AND(H122=TRUE,J120=TRUE)</formula>
    </cfRule>
  </conditionalFormatting>
  <conditionalFormatting sqref="R130:R131">
    <cfRule type="expression" dxfId="2615" priority="398">
      <formula>AND(H134=TRUE,J132=TRUE)</formula>
    </cfRule>
  </conditionalFormatting>
  <conditionalFormatting sqref="R133">
    <cfRule type="expression" dxfId="2614" priority="400">
      <formula>AND(H134=TRUE,J132=TRUE)</formula>
    </cfRule>
  </conditionalFormatting>
  <conditionalFormatting sqref="R142:R143">
    <cfRule type="expression" dxfId="2613" priority="377">
      <formula>AND(H146=TRUE,J144=TRUE)</formula>
    </cfRule>
  </conditionalFormatting>
  <conditionalFormatting sqref="R145">
    <cfRule type="expression" dxfId="2612" priority="379">
      <formula>AND(H146=TRUE,J144=TRUE)</formula>
    </cfRule>
  </conditionalFormatting>
  <conditionalFormatting sqref="R154:R155">
    <cfRule type="expression" dxfId="2611" priority="358">
      <formula>AND(H158=TRUE,J156=TRUE)</formula>
    </cfRule>
  </conditionalFormatting>
  <conditionalFormatting sqref="R157">
    <cfRule type="expression" dxfId="2610" priority="360">
      <formula>AND(H158=TRUE,J156=TRUE)</formula>
    </cfRule>
  </conditionalFormatting>
  <conditionalFormatting sqref="R166:R167">
    <cfRule type="expression" dxfId="2609" priority="339">
      <formula>AND(H170=TRUE,J168=TRUE)</formula>
    </cfRule>
  </conditionalFormatting>
  <conditionalFormatting sqref="R169">
    <cfRule type="expression" dxfId="2608" priority="341">
      <formula>AND(H170=TRUE,J168=TRUE)</formula>
    </cfRule>
  </conditionalFormatting>
  <conditionalFormatting sqref="R178:R179">
    <cfRule type="expression" dxfId="2607" priority="320">
      <formula>AND(H182=TRUE,J180=TRUE)</formula>
    </cfRule>
  </conditionalFormatting>
  <conditionalFormatting sqref="R181">
    <cfRule type="expression" dxfId="2606" priority="322">
      <formula>AND(H182=TRUE,J180=TRUE)</formula>
    </cfRule>
  </conditionalFormatting>
  <conditionalFormatting sqref="R190:R191">
    <cfRule type="expression" dxfId="2605" priority="301">
      <formula>AND(H194=TRUE,J192=TRUE)</formula>
    </cfRule>
  </conditionalFormatting>
  <conditionalFormatting sqref="R193">
    <cfRule type="expression" dxfId="2604" priority="303">
      <formula>AND(H194=TRUE,J192=TRUE)</formula>
    </cfRule>
  </conditionalFormatting>
  <conditionalFormatting sqref="R202:R203">
    <cfRule type="expression" dxfId="2603" priority="282">
      <formula>AND(H206=TRUE,J204=TRUE)</formula>
    </cfRule>
  </conditionalFormatting>
  <conditionalFormatting sqref="R205">
    <cfRule type="expression" dxfId="2602" priority="284">
      <formula>AND(H206=TRUE,J204=TRUE)</formula>
    </cfRule>
  </conditionalFormatting>
  <conditionalFormatting sqref="R208">
    <cfRule type="expression" dxfId="2601" priority="278">
      <formula>AND(H206=TRUE,J204=TRUE)</formula>
    </cfRule>
  </conditionalFormatting>
  <conditionalFormatting sqref="R214:R215">
    <cfRule type="expression" dxfId="2600" priority="261">
      <formula>AND(H218=TRUE,J216=TRUE)</formula>
    </cfRule>
  </conditionalFormatting>
  <conditionalFormatting sqref="R217">
    <cfRule type="expression" dxfId="2599" priority="263">
      <formula>AND(H218=TRUE,J216=TRUE)</formula>
    </cfRule>
  </conditionalFormatting>
  <conditionalFormatting sqref="R226:R227">
    <cfRule type="expression" dxfId="2598" priority="242">
      <formula>AND(H230=TRUE,J228=TRUE)</formula>
    </cfRule>
  </conditionalFormatting>
  <conditionalFormatting sqref="R229">
    <cfRule type="expression" dxfId="2597" priority="244">
      <formula>AND(H230=TRUE,J228=TRUE)</formula>
    </cfRule>
  </conditionalFormatting>
  <conditionalFormatting sqref="R238:R239">
    <cfRule type="expression" dxfId="2596" priority="223">
      <formula>AND(H242=TRUE,J240=TRUE)</formula>
    </cfRule>
  </conditionalFormatting>
  <conditionalFormatting sqref="R241">
    <cfRule type="expression" dxfId="2595" priority="225">
      <formula>AND(H242=TRUE,J240=TRUE)</formula>
    </cfRule>
  </conditionalFormatting>
  <conditionalFormatting sqref="R11:T12">
    <cfRule type="expression" dxfId="2594" priority="6563">
      <formula>AND(H14=TRUE,J12=TRUE)</formula>
    </cfRule>
  </conditionalFormatting>
  <conditionalFormatting sqref="R14:T15">
    <cfRule type="expression" dxfId="2593"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92" priority="1746">
      <formula>AND($R16=TRUE,$J12=TRUE,H14=TRUE)</formula>
    </cfRule>
  </conditionalFormatting>
  <conditionalFormatting sqref="R23:T24">
    <cfRule type="expression" dxfId="2591" priority="565">
      <formula>AND(H26=TRUE,J24=TRUE)</formula>
    </cfRule>
  </conditionalFormatting>
  <conditionalFormatting sqref="R26:T27">
    <cfRule type="expression" dxfId="2590" priority="551">
      <formula>AND(H26=TRUE,J24=TRUE,$R25=TRUE)</formula>
    </cfRule>
  </conditionalFormatting>
  <conditionalFormatting sqref="R29:T30">
    <cfRule type="expression" dxfId="2589" priority="559">
      <formula>AND($R28=TRUE,$J24=TRUE,H26=TRUE)</formula>
    </cfRule>
  </conditionalFormatting>
  <conditionalFormatting sqref="R35:T36">
    <cfRule type="expression" dxfId="2588" priority="545">
      <formula>AND(H38=TRUE,J36=TRUE)</formula>
    </cfRule>
  </conditionalFormatting>
  <conditionalFormatting sqref="R38:T39">
    <cfRule type="expression" dxfId="2587" priority="532">
      <formula>AND(H38=TRUE,J36=TRUE,$R37=TRUE)</formula>
    </cfRule>
  </conditionalFormatting>
  <conditionalFormatting sqref="R47:T48">
    <cfRule type="expression" dxfId="2586" priority="526">
      <formula>AND(H50=TRUE,J48=TRUE)</formula>
    </cfRule>
  </conditionalFormatting>
  <conditionalFormatting sqref="R50:T51">
    <cfRule type="expression" dxfId="2585" priority="513">
      <formula>AND(H50=TRUE,J48=TRUE,$R49=TRUE)</formula>
    </cfRule>
  </conditionalFormatting>
  <conditionalFormatting sqref="R59:T60">
    <cfRule type="expression" dxfId="2584" priority="507">
      <formula>AND(H62=TRUE,J60=TRUE)</formula>
    </cfRule>
  </conditionalFormatting>
  <conditionalFormatting sqref="R62:T63">
    <cfRule type="expression" dxfId="2583" priority="494">
      <formula>AND(H62=TRUE,J60=TRUE,$R61=TRUE)</formula>
    </cfRule>
  </conditionalFormatting>
  <conditionalFormatting sqref="R71:T72">
    <cfRule type="expression" dxfId="2582" priority="488">
      <formula>AND(H74=TRUE,J72=TRUE)</formula>
    </cfRule>
  </conditionalFormatting>
  <conditionalFormatting sqref="R74:T75">
    <cfRule type="expression" dxfId="2581" priority="475">
      <formula>AND(H74=TRUE,J72=TRUE,$R73=TRUE)</formula>
    </cfRule>
  </conditionalFormatting>
  <conditionalFormatting sqref="R83:T84">
    <cfRule type="expression" dxfId="2580" priority="469">
      <formula>AND(H86=TRUE,J84=TRUE)</formula>
    </cfRule>
  </conditionalFormatting>
  <conditionalFormatting sqref="R86:T87">
    <cfRule type="expression" dxfId="2579" priority="460">
      <formula>AND(H86=TRUE,J84=TRUE,$R85=TRUE)</formula>
    </cfRule>
  </conditionalFormatting>
  <conditionalFormatting sqref="R95:T96">
    <cfRule type="expression" dxfId="2578" priority="454">
      <formula>AND(H98=TRUE,J96=TRUE)</formula>
    </cfRule>
  </conditionalFormatting>
  <conditionalFormatting sqref="R98:T99">
    <cfRule type="expression" dxfId="2577" priority="441">
      <formula>AND(H98=TRUE,J96=TRUE,$R97=TRUE)</formula>
    </cfRule>
  </conditionalFormatting>
  <conditionalFormatting sqref="R107:T108">
    <cfRule type="expression" dxfId="2576" priority="435">
      <formula>AND(H110=TRUE,J108=TRUE)</formula>
    </cfRule>
  </conditionalFormatting>
  <conditionalFormatting sqref="R110:T111">
    <cfRule type="expression" dxfId="2575" priority="422">
      <formula>AND(H110=TRUE,J108=TRUE,$R109=TRUE)</formula>
    </cfRule>
  </conditionalFormatting>
  <conditionalFormatting sqref="R119:T120">
    <cfRule type="expression" dxfId="2574" priority="416">
      <formula>AND(H122=TRUE,J120=TRUE)</formula>
    </cfRule>
  </conditionalFormatting>
  <conditionalFormatting sqref="R122:T123">
    <cfRule type="expression" dxfId="2573" priority="403">
      <formula>AND(H122=TRUE,J120=TRUE,$R121=TRUE)</formula>
    </cfRule>
  </conditionalFormatting>
  <conditionalFormatting sqref="R131:T132">
    <cfRule type="expression" dxfId="2572" priority="399">
      <formula>AND(H134=TRUE,J132=TRUE)</formula>
    </cfRule>
  </conditionalFormatting>
  <conditionalFormatting sqref="R134:T135">
    <cfRule type="expression" dxfId="2571" priority="388">
      <formula>AND(H134=TRUE,J132=TRUE,$R133=TRUE)</formula>
    </cfRule>
  </conditionalFormatting>
  <conditionalFormatting sqref="R143:T144">
    <cfRule type="expression" dxfId="2570" priority="378">
      <formula>AND(H146=TRUE,J144=TRUE)</formula>
    </cfRule>
  </conditionalFormatting>
  <conditionalFormatting sqref="R146:T147">
    <cfRule type="expression" dxfId="2569" priority="365">
      <formula>AND(H146=TRUE,J144=TRUE,$R145=TRUE)</formula>
    </cfRule>
  </conditionalFormatting>
  <conditionalFormatting sqref="R155:T156">
    <cfRule type="expression" dxfId="2568" priority="359">
      <formula>AND(H158=TRUE,J156=TRUE)</formula>
    </cfRule>
  </conditionalFormatting>
  <conditionalFormatting sqref="R158:T159">
    <cfRule type="expression" dxfId="2567" priority="346">
      <formula>AND(H158=TRUE,J156=TRUE,$R157=TRUE)</formula>
    </cfRule>
  </conditionalFormatting>
  <conditionalFormatting sqref="R167:T168">
    <cfRule type="expression" dxfId="2566" priority="340">
      <formula>AND(H170=TRUE,J168=TRUE)</formula>
    </cfRule>
  </conditionalFormatting>
  <conditionalFormatting sqref="R170:T171">
    <cfRule type="expression" dxfId="2565" priority="327">
      <formula>AND(H170=TRUE,J168=TRUE,$R169=TRUE)</formula>
    </cfRule>
  </conditionalFormatting>
  <conditionalFormatting sqref="R179:T180">
    <cfRule type="expression" dxfId="2564" priority="321">
      <formula>AND(H182=TRUE,J180=TRUE)</formula>
    </cfRule>
  </conditionalFormatting>
  <conditionalFormatting sqref="R182:T183">
    <cfRule type="expression" dxfId="2563" priority="308">
      <formula>AND(H182=TRUE,J180=TRUE,$R181=TRUE)</formula>
    </cfRule>
  </conditionalFormatting>
  <conditionalFormatting sqref="R191:T192">
    <cfRule type="expression" dxfId="2562" priority="302">
      <formula>AND(H194=TRUE,J192=TRUE)</formula>
    </cfRule>
  </conditionalFormatting>
  <conditionalFormatting sqref="R194:T195">
    <cfRule type="expression" dxfId="2561" priority="289">
      <formula>AND(H194=TRUE,J192=TRUE,$R193=TRUE)</formula>
    </cfRule>
  </conditionalFormatting>
  <conditionalFormatting sqref="R203:T204">
    <cfRule type="expression" dxfId="2560" priority="283">
      <formula>AND(H206=TRUE,J204=TRUE)</formula>
    </cfRule>
  </conditionalFormatting>
  <conditionalFormatting sqref="R206:T207">
    <cfRule type="expression" dxfId="2559" priority="268">
      <formula>AND(H206=TRUE,J204=TRUE,$R205=TRUE)</formula>
    </cfRule>
  </conditionalFormatting>
  <conditionalFormatting sqref="R215:T216">
    <cfRule type="expression" dxfId="2558" priority="262">
      <formula>AND(H218=TRUE,J216=TRUE)</formula>
    </cfRule>
  </conditionalFormatting>
  <conditionalFormatting sqref="R218:T219">
    <cfRule type="expression" dxfId="2557" priority="249">
      <formula>AND(H218=TRUE,J216=TRUE,$R217=TRUE)</formula>
    </cfRule>
  </conditionalFormatting>
  <conditionalFormatting sqref="R227:T228">
    <cfRule type="expression" dxfId="2556" priority="243">
      <formula>AND(H230=TRUE,J228=TRUE)</formula>
    </cfRule>
  </conditionalFormatting>
  <conditionalFormatting sqref="R230:T231">
    <cfRule type="expression" dxfId="2555" priority="230">
      <formula>AND(H230=TRUE,J228=TRUE,$R229=TRUE)</formula>
    </cfRule>
  </conditionalFormatting>
  <conditionalFormatting sqref="R239:T240">
    <cfRule type="expression" dxfId="2554" priority="224">
      <formula>AND(H242=TRUE,J240=TRUE)</formula>
    </cfRule>
  </conditionalFormatting>
  <conditionalFormatting sqref="R242:T243">
    <cfRule type="expression" dxfId="2553" priority="211">
      <formula>AND(H242=TRUE,J240=TRUE,$R241=TRUE)</formula>
    </cfRule>
  </conditionalFormatting>
  <conditionalFormatting sqref="S13">
    <cfRule type="expression" dxfId="2552" priority="6603">
      <formula>AND(H15=TRUE,J13=TRUE)</formula>
    </cfRule>
    <cfRule type="expression" dxfId="2551" priority="6604">
      <formula>AND(H14=TRUE,J12=TRUE)</formula>
    </cfRule>
  </conditionalFormatting>
  <conditionalFormatting sqref="S25">
    <cfRule type="expression" dxfId="2550" priority="567">
      <formula>AND(H27=TRUE,J25=TRUE)</formula>
    </cfRule>
    <cfRule type="expression" dxfId="2549" priority="568">
      <formula>AND(H26=TRUE,J24=TRUE)</formula>
    </cfRule>
  </conditionalFormatting>
  <conditionalFormatting sqref="S28 S16 S40 S52 S64 S76 S88 S100 S112 S124 S136 S148 S160 S172 S184 S196 S208 S220 S232 S244">
    <cfRule type="expression" dxfId="2548" priority="4396">
      <formula>AND(H17=TRUE,J15=TRUE)</formula>
    </cfRule>
  </conditionalFormatting>
  <conditionalFormatting sqref="S28 S16 S40 S52 S64 S76 S88 S100 S112 S124 S136 S148 S160 S172 S184 S196 S220 S232 S244">
    <cfRule type="expression" dxfId="2547" priority="6311">
      <formula>AND(H14=TRUE,J12=TRUE)</formula>
    </cfRule>
  </conditionalFormatting>
  <conditionalFormatting sqref="S37">
    <cfRule type="expression" dxfId="2546" priority="547">
      <formula>AND(H39=TRUE,J37=TRUE)</formula>
    </cfRule>
    <cfRule type="expression" dxfId="2545" priority="548">
      <formula>AND(H38=TRUE,J36=TRUE)</formula>
    </cfRule>
  </conditionalFormatting>
  <conditionalFormatting sqref="S49">
    <cfRule type="expression" dxfId="2544" priority="528">
      <formula>AND(H51=TRUE,J49=TRUE)</formula>
    </cfRule>
    <cfRule type="expression" dxfId="2543" priority="529">
      <formula>AND(H50=TRUE,J48=TRUE)</formula>
    </cfRule>
  </conditionalFormatting>
  <conditionalFormatting sqref="S61">
    <cfRule type="expression" dxfId="2542" priority="509">
      <formula>AND(H63=TRUE,J61=TRUE)</formula>
    </cfRule>
    <cfRule type="expression" dxfId="2541" priority="510">
      <formula>AND(H62=TRUE,J60=TRUE)</formula>
    </cfRule>
  </conditionalFormatting>
  <conditionalFormatting sqref="S73">
    <cfRule type="expression" dxfId="2540" priority="490">
      <formula>AND(H75=TRUE,J73=TRUE)</formula>
    </cfRule>
    <cfRule type="expression" dxfId="2539" priority="491">
      <formula>AND(H74=TRUE,J72=TRUE)</formula>
    </cfRule>
  </conditionalFormatting>
  <conditionalFormatting sqref="S85">
    <cfRule type="expression" dxfId="2538" priority="471">
      <formula>AND(H87=TRUE,J85=TRUE)</formula>
    </cfRule>
    <cfRule type="expression" dxfId="2537" priority="472">
      <formula>AND(H86=TRUE,J84=TRUE)</formula>
    </cfRule>
  </conditionalFormatting>
  <conditionalFormatting sqref="S97">
    <cfRule type="expression" dxfId="2536" priority="456">
      <formula>AND(H99=TRUE,J97=TRUE)</formula>
    </cfRule>
    <cfRule type="expression" dxfId="2535" priority="457">
      <formula>AND(H98=TRUE,J96=TRUE)</formula>
    </cfRule>
  </conditionalFormatting>
  <conditionalFormatting sqref="S109">
    <cfRule type="expression" dxfId="2534" priority="437">
      <formula>AND(H111=TRUE,J109=TRUE)</formula>
    </cfRule>
    <cfRule type="expression" dxfId="2533" priority="438">
      <formula>AND(H110=TRUE,J108=TRUE)</formula>
    </cfRule>
  </conditionalFormatting>
  <conditionalFormatting sqref="S121">
    <cfRule type="expression" dxfId="2532" priority="418">
      <formula>AND(H123=TRUE,J121=TRUE)</formula>
    </cfRule>
    <cfRule type="expression" dxfId="2531" priority="419">
      <formula>AND(H122=TRUE,J120=TRUE)</formula>
    </cfRule>
  </conditionalFormatting>
  <conditionalFormatting sqref="S133">
    <cfRule type="expression" dxfId="2530" priority="1362">
      <formula>AND(H135=TRUE,J133=TRUE)</formula>
    </cfRule>
    <cfRule type="expression" dxfId="2529" priority="1363">
      <formula>AND(H134=TRUE,J132=TRUE)</formula>
    </cfRule>
  </conditionalFormatting>
  <conditionalFormatting sqref="S145">
    <cfRule type="expression" dxfId="2528" priority="380">
      <formula>AND(H147=TRUE,J145=TRUE)</formula>
    </cfRule>
    <cfRule type="expression" dxfId="2527" priority="381">
      <formula>AND(H146=TRUE,J144=TRUE)</formula>
    </cfRule>
  </conditionalFormatting>
  <conditionalFormatting sqref="S157">
    <cfRule type="expression" dxfId="2526" priority="361">
      <formula>AND(H159=TRUE,J157=TRUE)</formula>
    </cfRule>
    <cfRule type="expression" dxfId="2525" priority="362">
      <formula>AND(H158=TRUE,J156=TRUE)</formula>
    </cfRule>
  </conditionalFormatting>
  <conditionalFormatting sqref="S169">
    <cfRule type="expression" dxfId="2524" priority="342">
      <formula>AND(H171=TRUE,J169=TRUE)</formula>
    </cfRule>
    <cfRule type="expression" dxfId="2523" priority="343">
      <formula>AND(H170=TRUE,J168=TRUE)</formula>
    </cfRule>
  </conditionalFormatting>
  <conditionalFormatting sqref="S181">
    <cfRule type="expression" dxfId="2522" priority="323">
      <formula>AND(H183=TRUE,J181=TRUE)</formula>
    </cfRule>
    <cfRule type="expression" dxfId="2521" priority="324">
      <formula>AND(H182=TRUE,J180=TRUE)</formula>
    </cfRule>
  </conditionalFormatting>
  <conditionalFormatting sqref="S193">
    <cfRule type="expression" dxfId="2520" priority="304">
      <formula>AND(H195=TRUE,J193=TRUE)</formula>
    </cfRule>
    <cfRule type="expression" dxfId="2519" priority="305">
      <formula>AND(H194=TRUE,J192=TRUE)</formula>
    </cfRule>
  </conditionalFormatting>
  <conditionalFormatting sqref="S205">
    <cfRule type="expression" dxfId="2518" priority="285">
      <formula>AND(H207=TRUE,J205=TRUE)</formula>
    </cfRule>
    <cfRule type="expression" dxfId="2517" priority="286">
      <formula>AND(H206=TRUE,J204=TRUE)</formula>
    </cfRule>
  </conditionalFormatting>
  <conditionalFormatting sqref="S208">
    <cfRule type="expression" dxfId="2516" priority="277">
      <formula>AND(H206=TRUE,J204=TRUE)</formula>
    </cfRule>
  </conditionalFormatting>
  <conditionalFormatting sqref="S217">
    <cfRule type="expression" dxfId="2515" priority="264">
      <formula>AND(H219=TRUE,J217=TRUE)</formula>
    </cfRule>
    <cfRule type="expression" dxfId="2514" priority="265">
      <formula>AND(H218=TRUE,J216=TRUE)</formula>
    </cfRule>
  </conditionalFormatting>
  <conditionalFormatting sqref="S229">
    <cfRule type="expression" dxfId="2513" priority="245">
      <formula>AND(H231=TRUE,J229=TRUE)</formula>
    </cfRule>
    <cfRule type="expression" dxfId="2512" priority="246">
      <formula>AND(H230=TRUE,J228=TRUE)</formula>
    </cfRule>
  </conditionalFormatting>
  <conditionalFormatting sqref="S241">
    <cfRule type="expression" dxfId="2511" priority="226">
      <formula>AND(H243=TRUE,J241=TRUE)</formula>
    </cfRule>
    <cfRule type="expression" dxfId="2510" priority="227">
      <formula>AND(H242=TRUE,J240=TRUE)</formula>
    </cfRule>
  </conditionalFormatting>
  <conditionalFormatting sqref="T10 T82">
    <cfRule type="expression" dxfId="2509" priority="1307">
      <formula>AND(H14=TRUE,J12=TRUE)</formula>
    </cfRule>
  </conditionalFormatting>
  <conditionalFormatting sqref="T13">
    <cfRule type="expression" dxfId="2508" priority="1744">
      <formula>AND($R16=TRUE,$J12=TRUE,H14=TRUE)</formula>
    </cfRule>
  </conditionalFormatting>
  <conditionalFormatting sqref="T16">
    <cfRule type="expression" dxfId="2507" priority="949">
      <formula>AND($R$16=TRUE,$J$12=TRUE,$H$14=TRUE)</formula>
    </cfRule>
  </conditionalFormatting>
  <conditionalFormatting sqref="T22">
    <cfRule type="expression" dxfId="2506" priority="556">
      <formula>AND(H26=TRUE,J24=TRUE)</formula>
    </cfRule>
  </conditionalFormatting>
  <conditionalFormatting sqref="T25">
    <cfRule type="expression" dxfId="2505" priority="207">
      <formula>AND($R$25=TRUE,$J$24=TRUE,$H$26=TRUE)</formula>
    </cfRule>
  </conditionalFormatting>
  <conditionalFormatting sqref="T28">
    <cfRule type="expression" dxfId="2504" priority="208">
      <formula>AND($R$28=TRUE,$J$24=TRUE,$H$26=TRUE)</formula>
    </cfRule>
  </conditionalFormatting>
  <conditionalFormatting sqref="T34">
    <cfRule type="expression" dxfId="2503" priority="537">
      <formula>AND(H38=TRUE,J36=TRUE)</formula>
    </cfRule>
  </conditionalFormatting>
  <conditionalFormatting sqref="T37">
    <cfRule type="expression" dxfId="2502" priority="533">
      <formula>AND($R$37=TRUE,$J$36=TRUE,$H$38=TRUE)</formula>
    </cfRule>
  </conditionalFormatting>
  <conditionalFormatting sqref="T40">
    <cfRule type="expression" dxfId="2501" priority="534">
      <formula>AND($R$40=TRUE,$J$36=TRUE,$H$38=TRUE)</formula>
    </cfRule>
  </conditionalFormatting>
  <conditionalFormatting sqref="T46">
    <cfRule type="expression" dxfId="2500" priority="518">
      <formula>AND(H50=TRUE,J48=TRUE)</formula>
    </cfRule>
  </conditionalFormatting>
  <conditionalFormatting sqref="T49">
    <cfRule type="expression" dxfId="2499" priority="136">
      <formula>AND($R$49=TRUE,$J$48=TRUE,$H$50=TRUE)</formula>
    </cfRule>
  </conditionalFormatting>
  <conditionalFormatting sqref="T52">
    <cfRule type="expression" dxfId="2498" priority="515">
      <formula>AND($R$52=TRUE,$J$48=TRUE,$H$50=TRUE)</formula>
    </cfRule>
  </conditionalFormatting>
  <conditionalFormatting sqref="T58">
    <cfRule type="expression" dxfId="2497" priority="499">
      <formula>AND(H62=TRUE,J60=TRUE)</formula>
    </cfRule>
  </conditionalFormatting>
  <conditionalFormatting sqref="T61">
    <cfRule type="expression" dxfId="2496" priority="496">
      <formula>AND($R$61=TRUE,$J$60=TRUE,$H$62=TRUE)</formula>
    </cfRule>
  </conditionalFormatting>
  <conditionalFormatting sqref="T64">
    <cfRule type="expression" dxfId="2495" priority="133">
      <formula>AND($R$64=TRUE,$J$60=TRUE,$H$62=TRUE)</formula>
    </cfRule>
  </conditionalFormatting>
  <conditionalFormatting sqref="T70">
    <cfRule type="expression" dxfId="2494" priority="480">
      <formula>AND(H74=TRUE,J72=TRUE)</formula>
    </cfRule>
  </conditionalFormatting>
  <conditionalFormatting sqref="T73">
    <cfRule type="expression" dxfId="2493" priority="132">
      <formula>AND($R$73=TRUE,$J$72=TRUE,$H$74=TRUE)</formula>
    </cfRule>
  </conditionalFormatting>
  <conditionalFormatting sqref="T76">
    <cfRule type="expression" dxfId="2492" priority="131">
      <formula>AND($R$76=TRUE,$J$72=TRUE,$H$74=TRUE)</formula>
    </cfRule>
  </conditionalFormatting>
  <conditionalFormatting sqref="T85">
    <cfRule type="expression" dxfId="2491" priority="127">
      <formula>AND($R$85=TRUE,$J$84=TRUE,$H$86=TRUE)</formula>
    </cfRule>
  </conditionalFormatting>
  <conditionalFormatting sqref="T88">
    <cfRule type="expression" dxfId="2490" priority="126">
      <formula>AND($R$88=TRUE,$J$84=TRUE,$H$86=TRUE)</formula>
    </cfRule>
  </conditionalFormatting>
  <conditionalFormatting sqref="T94">
    <cfRule type="expression" dxfId="2489" priority="446">
      <formula>AND(H98=TRUE,J96=TRUE)</formula>
    </cfRule>
  </conditionalFormatting>
  <conditionalFormatting sqref="T97">
    <cfRule type="expression" dxfId="2488" priority="125">
      <formula>AND($R$97=TRUE,$J$96=TRUE,$H$98=TRUE)</formula>
    </cfRule>
  </conditionalFormatting>
  <conditionalFormatting sqref="T100">
    <cfRule type="expression" dxfId="2487" priority="124">
      <formula>AND($R$100=TRUE,$J$96=TRUE,$H$98=TRUE)</formula>
    </cfRule>
  </conditionalFormatting>
  <conditionalFormatting sqref="T106">
    <cfRule type="expression" dxfId="2486" priority="427">
      <formula>AND(H110=TRUE,J108=TRUE)</formula>
    </cfRule>
  </conditionalFormatting>
  <conditionalFormatting sqref="T109">
    <cfRule type="expression" dxfId="2485" priority="119">
      <formula>AND($R$109=TRUE,$J$108=TRUE,$H$110=TRUE)</formula>
    </cfRule>
  </conditionalFormatting>
  <conditionalFormatting sqref="T112">
    <cfRule type="expression" dxfId="2484" priority="118">
      <formula>AND($R$112=TRUE,$J$108=TRUE,$H$110=TRUE)</formula>
    </cfRule>
  </conditionalFormatting>
  <conditionalFormatting sqref="T118">
    <cfRule type="expression" dxfId="2483" priority="408">
      <formula>AND(H122=TRUE,J120=TRUE)</formula>
    </cfRule>
  </conditionalFormatting>
  <conditionalFormatting sqref="T121">
    <cfRule type="expression" dxfId="2482" priority="117">
      <formula>AND($R$121=TRUE,$J$120=TRUE,$H$122=TRUE)</formula>
    </cfRule>
  </conditionalFormatting>
  <conditionalFormatting sqref="T124">
    <cfRule type="expression" dxfId="2481" priority="116">
      <formula>AND($R$124=TRUE,$J$120=TRUE,$H$122=TRUE)</formula>
    </cfRule>
  </conditionalFormatting>
  <conditionalFormatting sqref="T130">
    <cfRule type="expression" dxfId="2480" priority="391">
      <formula>AND(H134=TRUE,J132=TRUE)</formula>
    </cfRule>
  </conditionalFormatting>
  <conditionalFormatting sqref="T133">
    <cfRule type="expression" dxfId="2479" priority="384">
      <formula>AND($R$133=TRUE,$J$132=TRUE,$H$134=TRUE)</formula>
    </cfRule>
  </conditionalFormatting>
  <conditionalFormatting sqref="T136">
    <cfRule type="expression" dxfId="2478" priority="183">
      <formula>AND($R$136=TRUE,$J$132=TRUE,$H$134=TRUE)</formula>
    </cfRule>
  </conditionalFormatting>
  <conditionalFormatting sqref="T142">
    <cfRule type="expression" dxfId="2477" priority="370">
      <formula>AND(H146=TRUE,J144=TRUE)</formula>
    </cfRule>
  </conditionalFormatting>
  <conditionalFormatting sqref="T145">
    <cfRule type="expression" dxfId="2476" priority="121">
      <formula>AND($R$145=TRUE,$J$144=TRUE,$H$146=TRUE)</formula>
    </cfRule>
  </conditionalFormatting>
  <conditionalFormatting sqref="T148">
    <cfRule type="expression" dxfId="2475" priority="120">
      <formula>AND($R$148=TRUE,$J$144=TRUE,$H$146=TRUE)</formula>
    </cfRule>
  </conditionalFormatting>
  <conditionalFormatting sqref="T154">
    <cfRule type="expression" dxfId="2474" priority="351">
      <formula>AND(H158=TRUE,J156=TRUE)</formula>
    </cfRule>
  </conditionalFormatting>
  <conditionalFormatting sqref="T157">
    <cfRule type="expression" dxfId="2473" priority="123">
      <formula>AND($R$157=TRUE,$J$156=TRUE,$H$158=TRUE)</formula>
    </cfRule>
  </conditionalFormatting>
  <conditionalFormatting sqref="T160">
    <cfRule type="expression" dxfId="2472" priority="122">
      <formula>AND($R$160=TRUE,$J$156=TRUE,$H$158=TRUE)</formula>
    </cfRule>
  </conditionalFormatting>
  <conditionalFormatting sqref="T166">
    <cfRule type="expression" dxfId="2471" priority="332">
      <formula>AND(H170=TRUE,J168=TRUE)</formula>
    </cfRule>
  </conditionalFormatting>
  <conditionalFormatting sqref="T169">
    <cfRule type="expression" dxfId="2470" priority="129">
      <formula>AND($R$169=TRUE,$J$168=TRUE,$H$170=TRUE)</formula>
    </cfRule>
  </conditionalFormatting>
  <conditionalFormatting sqref="T172">
    <cfRule type="expression" dxfId="2469" priority="128">
      <formula>AND($R$172=TRUE,$J$168=TRUE,$H$170=TRUE)</formula>
    </cfRule>
  </conditionalFormatting>
  <conditionalFormatting sqref="T178">
    <cfRule type="expression" dxfId="2468" priority="313">
      <formula>AND(H182=TRUE,J180=TRUE)</formula>
    </cfRule>
  </conditionalFormatting>
  <conditionalFormatting sqref="T181">
    <cfRule type="expression" dxfId="2467" priority="138">
      <formula>AND($R$181=TRUE,$J$180=TRUE,$H$182=TRUE)</formula>
    </cfRule>
  </conditionalFormatting>
  <conditionalFormatting sqref="T184">
    <cfRule type="expression" dxfId="2466" priority="310">
      <formula>AND($R$184=TRUE,$J$180=TRUE,$H$182=TRUE)</formula>
    </cfRule>
  </conditionalFormatting>
  <conditionalFormatting sqref="T190">
    <cfRule type="expression" dxfId="2465" priority="294">
      <formula>AND(H194=TRUE,J192=TRUE)</formula>
    </cfRule>
  </conditionalFormatting>
  <conditionalFormatting sqref="T193">
    <cfRule type="expression" dxfId="2464" priority="291">
      <formula>AND($R$193=TRUE,$J$192=TRUE,$H$194=TRUE)</formula>
    </cfRule>
  </conditionalFormatting>
  <conditionalFormatting sqref="T196">
    <cfRule type="expression" dxfId="2463" priority="140">
      <formula>AND($R$196=TRUE,$J$192=TRUE,$H$194=TRUE)</formula>
    </cfRule>
  </conditionalFormatting>
  <conditionalFormatting sqref="T202">
    <cfRule type="expression" dxfId="2462" priority="273">
      <formula>AND(H206=TRUE,J204=TRUE)</formula>
    </cfRule>
  </conditionalFormatting>
  <conditionalFormatting sqref="T205">
    <cfRule type="expression" dxfId="2461" priority="269">
      <formula>AND($R$205=TRUE,$J$204=TRUE,$H$206=TRUE)</formula>
    </cfRule>
  </conditionalFormatting>
  <conditionalFormatting sqref="T208">
    <cfRule type="expression" dxfId="2460" priority="270">
      <formula>AND($R$208=TRUE,$J$204=TRUE,$H$206=TRUE)</formula>
    </cfRule>
  </conditionalFormatting>
  <conditionalFormatting sqref="T214">
    <cfRule type="expression" dxfId="2459" priority="254">
      <formula>AND(H218=TRUE,J216=TRUE)</formula>
    </cfRule>
  </conditionalFormatting>
  <conditionalFormatting sqref="T217">
    <cfRule type="expression" dxfId="2458" priority="251">
      <formula>AND($R$217=TRUE,$J$216=TRUE,$H$218=TRUE)</formula>
    </cfRule>
  </conditionalFormatting>
  <conditionalFormatting sqref="T220">
    <cfRule type="expression" dxfId="2457" priority="250">
      <formula>AND($R$220=TRUE,$J$216=TRUE,$H$218=TRUE)</formula>
    </cfRule>
  </conditionalFormatting>
  <conditionalFormatting sqref="T226">
    <cfRule type="expression" dxfId="2456" priority="235">
      <formula>AND(H230=TRUE,J228=TRUE)</formula>
    </cfRule>
  </conditionalFormatting>
  <conditionalFormatting sqref="T229">
    <cfRule type="expression" dxfId="2455" priority="148">
      <formula>AND($R$229=TRUE,$J$228=TRUE,$H$230=TRUE)</formula>
    </cfRule>
  </conditionalFormatting>
  <conditionalFormatting sqref="T232">
    <cfRule type="expression" dxfId="2454" priority="232">
      <formula>AND($R$232=TRUE,$J$228=TRUE,$H$230=TRUE)</formula>
    </cfRule>
  </conditionalFormatting>
  <conditionalFormatting sqref="T238">
    <cfRule type="expression" dxfId="2453" priority="216">
      <formula>AND(H242=TRUE,J240=TRUE)</formula>
    </cfRule>
  </conditionalFormatting>
  <conditionalFormatting sqref="T241">
    <cfRule type="expression" dxfId="2452" priority="213">
      <formula>AND($R$241=TRUE,$J$240=TRUE,$H$242=TRUE)</formula>
    </cfRule>
  </conditionalFormatting>
  <conditionalFormatting sqref="T244">
    <cfRule type="expression" dxfId="2451" priority="212">
      <formula>AND($R$244=TRUE,$J$240=TRUE,$H$242=TRUE)</formula>
    </cfRule>
  </conditionalFormatting>
  <conditionalFormatting sqref="U13">
    <cfRule type="expression" dxfId="2450" priority="6319">
      <formula>AND(H14=TRUE,J13=TRUE)</formula>
    </cfRule>
  </conditionalFormatting>
  <conditionalFormatting sqref="U25">
    <cfRule type="expression" dxfId="2449" priority="561">
      <formula>AND(H26=TRUE,J25=TRUE)</formula>
    </cfRule>
  </conditionalFormatting>
  <conditionalFormatting sqref="U27 U15 U39 U51 U63 U75 U87 U99 U111 U123 U135 U147 U159 U171 U183 U195 U207 U219 U231 U243">
    <cfRule type="expression" dxfId="2448" priority="4493">
      <formula>AND(H14=TRUE,J13=TRUE)</formula>
    </cfRule>
  </conditionalFormatting>
  <conditionalFormatting sqref="U29 U17 U41 U53 U65 U77 U89 U101 U113 U125 U137 U149 U161 U173 U185 U197 U209 U221 U233 U245">
    <cfRule type="expression" dxfId="2447" priority="4494">
      <formula>AND(H14=TRUE,J13=TRUE)</formula>
    </cfRule>
  </conditionalFormatting>
  <conditionalFormatting sqref="U37">
    <cfRule type="expression" dxfId="2446" priority="541">
      <formula>AND(H38=TRUE,J37=TRUE)</formula>
    </cfRule>
  </conditionalFormatting>
  <conditionalFormatting sqref="U49">
    <cfRule type="expression" dxfId="2445" priority="522">
      <formula>AND(H50=TRUE,J49=TRUE)</formula>
    </cfRule>
  </conditionalFormatting>
  <conditionalFormatting sqref="U61">
    <cfRule type="expression" dxfId="2444" priority="503">
      <formula>AND(H62=TRUE,J61=TRUE)</formula>
    </cfRule>
  </conditionalFormatting>
  <conditionalFormatting sqref="U73">
    <cfRule type="expression" dxfId="2443" priority="484">
      <formula>AND(H74=TRUE,J73=TRUE)</formula>
    </cfRule>
  </conditionalFormatting>
  <conditionalFormatting sqref="U85">
    <cfRule type="expression" dxfId="2442" priority="466">
      <formula>AND(H86=TRUE,J85=TRUE)</formula>
    </cfRule>
  </conditionalFormatting>
  <conditionalFormatting sqref="U97">
    <cfRule type="expression" dxfId="2441" priority="450">
      <formula>AND(H98=TRUE,J97=TRUE)</formula>
    </cfRule>
  </conditionalFormatting>
  <conditionalFormatting sqref="U109">
    <cfRule type="expression" dxfId="2440" priority="431">
      <formula>AND(H110=TRUE,J109=TRUE)</formula>
    </cfRule>
  </conditionalFormatting>
  <conditionalFormatting sqref="U121">
    <cfRule type="expression" dxfId="2439" priority="412">
      <formula>AND(H122=TRUE,J121=TRUE)</formula>
    </cfRule>
  </conditionalFormatting>
  <conditionalFormatting sqref="U133">
    <cfRule type="expression" dxfId="2438" priority="395">
      <formula>AND(H134=TRUE,J133=TRUE)</formula>
    </cfRule>
  </conditionalFormatting>
  <conditionalFormatting sqref="U145">
    <cfRule type="expression" dxfId="2437" priority="374">
      <formula>AND(H146=TRUE,J145=TRUE)</formula>
    </cfRule>
  </conditionalFormatting>
  <conditionalFormatting sqref="U157">
    <cfRule type="expression" dxfId="2436" priority="355">
      <formula>AND(H158=TRUE,J157=TRUE)</formula>
    </cfRule>
  </conditionalFormatting>
  <conditionalFormatting sqref="U169">
    <cfRule type="expression" dxfId="2435" priority="336">
      <formula>AND(H170=TRUE,J169=TRUE)</formula>
    </cfRule>
  </conditionalFormatting>
  <conditionalFormatting sqref="U181">
    <cfRule type="expression" dxfId="2434" priority="317">
      <formula>AND(H182=TRUE,J181=TRUE)</formula>
    </cfRule>
  </conditionalFormatting>
  <conditionalFormatting sqref="U193">
    <cfRule type="expression" dxfId="2433" priority="298">
      <formula>AND(H194=TRUE,J193=TRUE)</formula>
    </cfRule>
  </conditionalFormatting>
  <conditionalFormatting sqref="U205">
    <cfRule type="expression" dxfId="2432" priority="279">
      <formula>AND(H206=TRUE,J205=TRUE)</formula>
    </cfRule>
  </conditionalFormatting>
  <conditionalFormatting sqref="U217">
    <cfRule type="expression" dxfId="2431" priority="258">
      <formula>AND(H218=TRUE,J217=TRUE)</formula>
    </cfRule>
  </conditionalFormatting>
  <conditionalFormatting sqref="U229">
    <cfRule type="expression" dxfId="2430" priority="239">
      <formula>AND(H230=TRUE,J229=TRUE)</formula>
    </cfRule>
  </conditionalFormatting>
  <conditionalFormatting sqref="U241">
    <cfRule type="expression" dxfId="2429" priority="220">
      <formula>AND(H242=TRUE,J241=TRUE)</formula>
    </cfRule>
  </conditionalFormatting>
  <conditionalFormatting sqref="U3:V3">
    <cfRule type="expression" dxfId="2428"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427" priority="993">
      <formula>AND(J13=TRUE,H14=TRUE)</formula>
    </cfRule>
  </conditionalFormatting>
  <conditionalFormatting sqref="U12:V12">
    <cfRule type="expression" dxfId="2426" priority="2053">
      <formula>AND($J13=TRUE,H14=TRUE)</formula>
    </cfRule>
  </conditionalFormatting>
  <conditionalFormatting sqref="U16:V16">
    <cfRule type="expression" dxfId="2425" priority="1334">
      <formula>AND(U15=TRUE,J13=TRUE,H14=TRUE)</formula>
    </cfRule>
  </conditionalFormatting>
  <conditionalFormatting sqref="U18:V18">
    <cfRule type="expression" dxfId="2424" priority="1333">
      <formula>AND(U17=TRUE,J13=TRUE,H14=TRUE)</formula>
    </cfRule>
  </conditionalFormatting>
  <conditionalFormatting sqref="U22:V22">
    <cfRule type="expression" dxfId="2423" priority="554">
      <formula>AND(J25=TRUE,H26=TRUE)</formula>
    </cfRule>
  </conditionalFormatting>
  <conditionalFormatting sqref="U24:V24">
    <cfRule type="expression" dxfId="2422" priority="560">
      <formula>AND($J25=TRUE,H26=TRUE)</formula>
    </cfRule>
  </conditionalFormatting>
  <conditionalFormatting sqref="U28:V28">
    <cfRule type="expression" dxfId="2421" priority="558">
      <formula>AND(U27=TRUE,J25=TRUE,H26=TRUE)</formula>
    </cfRule>
  </conditionalFormatting>
  <conditionalFormatting sqref="U30:V30">
    <cfRule type="expression" dxfId="2420" priority="557">
      <formula>AND(U29=TRUE,J25=TRUE,H26=TRUE)</formula>
    </cfRule>
  </conditionalFormatting>
  <conditionalFormatting sqref="U34:V34">
    <cfRule type="expression" dxfId="2419" priority="535">
      <formula>AND(J37=TRUE,H38=TRUE)</formula>
    </cfRule>
  </conditionalFormatting>
  <conditionalFormatting sqref="U36:V36">
    <cfRule type="expression" dxfId="2418" priority="540">
      <formula>AND($J37=TRUE,H38=TRUE)</formula>
    </cfRule>
  </conditionalFormatting>
  <conditionalFormatting sqref="U40:V40">
    <cfRule type="expression" dxfId="2417" priority="539">
      <formula>AND(U39=TRUE,J37=TRUE,H38=TRUE)</formula>
    </cfRule>
  </conditionalFormatting>
  <conditionalFormatting sqref="U42:V42">
    <cfRule type="expression" dxfId="2416" priority="538">
      <formula>AND(U41=TRUE,J37=TRUE,H38=TRUE)</formula>
    </cfRule>
  </conditionalFormatting>
  <conditionalFormatting sqref="U46:V46">
    <cfRule type="expression" dxfId="2415" priority="516">
      <formula>AND(J49=TRUE,H50=TRUE)</formula>
    </cfRule>
  </conditionalFormatting>
  <conditionalFormatting sqref="U48:V48">
    <cfRule type="expression" dxfId="2414" priority="521">
      <formula>AND($J49=TRUE,H50=TRUE)</formula>
    </cfRule>
  </conditionalFormatting>
  <conditionalFormatting sqref="U52:V52">
    <cfRule type="expression" dxfId="2413" priority="520">
      <formula>AND(U51=TRUE,J49=TRUE,H50=TRUE)</formula>
    </cfRule>
  </conditionalFormatting>
  <conditionalFormatting sqref="U54:V54">
    <cfRule type="expression" dxfId="2412" priority="519">
      <formula>AND(U53=TRUE,J49=TRUE,H50=TRUE)</formula>
    </cfRule>
  </conditionalFormatting>
  <conditionalFormatting sqref="U58:V58">
    <cfRule type="expression" dxfId="2411" priority="497">
      <formula>AND(J61=TRUE,H62=TRUE)</formula>
    </cfRule>
  </conditionalFormatting>
  <conditionalFormatting sqref="U60:V60">
    <cfRule type="expression" dxfId="2410" priority="502">
      <formula>AND($J61=TRUE,H62=TRUE)</formula>
    </cfRule>
  </conditionalFormatting>
  <conditionalFormatting sqref="U64:V64">
    <cfRule type="expression" dxfId="2409" priority="501">
      <formula>AND(U63=TRUE,J61=TRUE,H62=TRUE)</formula>
    </cfRule>
  </conditionalFormatting>
  <conditionalFormatting sqref="U66:V66">
    <cfRule type="expression" dxfId="2408" priority="500">
      <formula>AND(U65=TRUE,J61=TRUE,H62=TRUE)</formula>
    </cfRule>
  </conditionalFormatting>
  <conditionalFormatting sqref="U70:V70">
    <cfRule type="expression" dxfId="2407" priority="478">
      <formula>AND(J73=TRUE,H74=TRUE)</formula>
    </cfRule>
  </conditionalFormatting>
  <conditionalFormatting sqref="U72:V72">
    <cfRule type="expression" dxfId="2406" priority="483">
      <formula>AND($J73=TRUE,H74=TRUE)</formula>
    </cfRule>
  </conditionalFormatting>
  <conditionalFormatting sqref="U76:V76">
    <cfRule type="expression" dxfId="2405" priority="482">
      <formula>AND(U75=TRUE,J73=TRUE,H74=TRUE)</formula>
    </cfRule>
  </conditionalFormatting>
  <conditionalFormatting sqref="U78:V78">
    <cfRule type="expression" dxfId="2404" priority="481">
      <formula>AND(U77=TRUE,J73=TRUE,H74=TRUE)</formula>
    </cfRule>
  </conditionalFormatting>
  <conditionalFormatting sqref="U82:V82">
    <cfRule type="expression" dxfId="2403" priority="461">
      <formula>AND(J85=TRUE,H86=TRUE)</formula>
    </cfRule>
  </conditionalFormatting>
  <conditionalFormatting sqref="U84:V84">
    <cfRule type="expression" dxfId="2402" priority="465">
      <formula>AND($J85=TRUE,H86=TRUE)</formula>
    </cfRule>
  </conditionalFormatting>
  <conditionalFormatting sqref="U88:V88">
    <cfRule type="expression" dxfId="2401" priority="464">
      <formula>AND(U87=TRUE,J85=TRUE,H86=TRUE)</formula>
    </cfRule>
  </conditionalFormatting>
  <conditionalFormatting sqref="U90:V90">
    <cfRule type="expression" dxfId="2400" priority="463">
      <formula>AND(U89=TRUE,J85=TRUE,H86=TRUE)</formula>
    </cfRule>
  </conditionalFormatting>
  <conditionalFormatting sqref="U94:V94">
    <cfRule type="expression" dxfId="2399" priority="444">
      <formula>AND(J97=TRUE,H98=TRUE)</formula>
    </cfRule>
  </conditionalFormatting>
  <conditionalFormatting sqref="U96:V96">
    <cfRule type="expression" dxfId="2398" priority="449">
      <formula>AND($J97=TRUE,H98=TRUE)</formula>
    </cfRule>
  </conditionalFormatting>
  <conditionalFormatting sqref="U100:V100">
    <cfRule type="expression" dxfId="2397" priority="448">
      <formula>AND(U99=TRUE,J97=TRUE,H98=TRUE)</formula>
    </cfRule>
  </conditionalFormatting>
  <conditionalFormatting sqref="U102:V102">
    <cfRule type="expression" dxfId="2396" priority="447">
      <formula>AND(U101=TRUE,J97=TRUE,H98=TRUE)</formula>
    </cfRule>
  </conditionalFormatting>
  <conditionalFormatting sqref="U106:V106">
    <cfRule type="expression" dxfId="2395" priority="425">
      <formula>AND(J109=TRUE,H110=TRUE)</formula>
    </cfRule>
  </conditionalFormatting>
  <conditionalFormatting sqref="U108:V108">
    <cfRule type="expression" dxfId="2394" priority="430">
      <formula>AND($J109=TRUE,H110=TRUE)</formula>
    </cfRule>
  </conditionalFormatting>
  <conditionalFormatting sqref="U112:V112">
    <cfRule type="expression" dxfId="2393" priority="429">
      <formula>AND(U111=TRUE,J109=TRUE,H110=TRUE)</formula>
    </cfRule>
  </conditionalFormatting>
  <conditionalFormatting sqref="U114:V114">
    <cfRule type="expression" dxfId="2392" priority="428">
      <formula>AND(U113=TRUE,J109=TRUE,H110=TRUE)</formula>
    </cfRule>
  </conditionalFormatting>
  <conditionalFormatting sqref="U118:V118">
    <cfRule type="expression" dxfId="2391" priority="406">
      <formula>AND(J121=TRUE,H122=TRUE)</formula>
    </cfRule>
  </conditionalFormatting>
  <conditionalFormatting sqref="U120:V120">
    <cfRule type="expression" dxfId="2390" priority="411">
      <formula>AND($J121=TRUE,H122=TRUE)</formula>
    </cfRule>
  </conditionalFormatting>
  <conditionalFormatting sqref="U124:V124">
    <cfRule type="expression" dxfId="2389" priority="410">
      <formula>AND(U123=TRUE,J121=TRUE,H122=TRUE)</formula>
    </cfRule>
  </conditionalFormatting>
  <conditionalFormatting sqref="U126:V126">
    <cfRule type="expression" dxfId="2388" priority="409">
      <formula>AND(U125=TRUE,J121=TRUE,H122=TRUE)</formula>
    </cfRule>
  </conditionalFormatting>
  <conditionalFormatting sqref="U130:V130">
    <cfRule type="expression" dxfId="2387" priority="389">
      <formula>AND(J133=TRUE,H134=TRUE)</formula>
    </cfRule>
  </conditionalFormatting>
  <conditionalFormatting sqref="U132:V132">
    <cfRule type="expression" dxfId="2386" priority="394">
      <formula>AND($J133=TRUE,H134=TRUE)</formula>
    </cfRule>
  </conditionalFormatting>
  <conditionalFormatting sqref="U136:V136">
    <cfRule type="expression" dxfId="2385" priority="393">
      <formula>AND(U135=TRUE,J133=TRUE,H134=TRUE)</formula>
    </cfRule>
  </conditionalFormatting>
  <conditionalFormatting sqref="U138:V138">
    <cfRule type="expression" dxfId="2384" priority="392">
      <formula>AND(U137=TRUE,J133=TRUE,H134=TRUE)</formula>
    </cfRule>
  </conditionalFormatting>
  <conditionalFormatting sqref="U142:V142">
    <cfRule type="expression" dxfId="2383" priority="368">
      <formula>AND(J145=TRUE,H146=TRUE)</formula>
    </cfRule>
  </conditionalFormatting>
  <conditionalFormatting sqref="U144:V144">
    <cfRule type="expression" dxfId="2382" priority="373">
      <formula>AND($J145=TRUE,H146=TRUE)</formula>
    </cfRule>
  </conditionalFormatting>
  <conditionalFormatting sqref="U148:V148">
    <cfRule type="expression" dxfId="2381" priority="372">
      <formula>AND(U147=TRUE,J145=TRUE,H146=TRUE)</formula>
    </cfRule>
  </conditionalFormatting>
  <conditionalFormatting sqref="U150:V150">
    <cfRule type="expression" dxfId="2380" priority="371">
      <formula>AND(U149=TRUE,J145=TRUE,H146=TRUE)</formula>
    </cfRule>
  </conditionalFormatting>
  <conditionalFormatting sqref="U154:V154">
    <cfRule type="expression" dxfId="2379" priority="349">
      <formula>AND(J157=TRUE,H158=TRUE)</formula>
    </cfRule>
  </conditionalFormatting>
  <conditionalFormatting sqref="U156:V156">
    <cfRule type="expression" dxfId="2378" priority="354">
      <formula>AND($J157=TRUE,H158=TRUE)</formula>
    </cfRule>
  </conditionalFormatting>
  <conditionalFormatting sqref="U160:V160">
    <cfRule type="expression" dxfId="2377" priority="353">
      <formula>AND(U159=TRUE,J157=TRUE,H158=TRUE)</formula>
    </cfRule>
  </conditionalFormatting>
  <conditionalFormatting sqref="U162:V162">
    <cfRule type="expression" dxfId="2376" priority="352">
      <formula>AND(U161=TRUE,J157=TRUE,H158=TRUE)</formula>
    </cfRule>
  </conditionalFormatting>
  <conditionalFormatting sqref="U166:V166">
    <cfRule type="expression" dxfId="2375" priority="330">
      <formula>AND(J169=TRUE,H170=TRUE)</formula>
    </cfRule>
  </conditionalFormatting>
  <conditionalFormatting sqref="U168:V168">
    <cfRule type="expression" dxfId="2374" priority="335">
      <formula>AND($J169=TRUE,H170=TRUE)</formula>
    </cfRule>
  </conditionalFormatting>
  <conditionalFormatting sqref="U172:V172">
    <cfRule type="expression" dxfId="2373" priority="334">
      <formula>AND(U171=TRUE,J169=TRUE,H170=TRUE)</formula>
    </cfRule>
  </conditionalFormatting>
  <conditionalFormatting sqref="U174:V174">
    <cfRule type="expression" dxfId="2372" priority="333">
      <formula>AND(U173=TRUE,J169=TRUE,H170=TRUE)</formula>
    </cfRule>
  </conditionalFormatting>
  <conditionalFormatting sqref="U178:V178">
    <cfRule type="expression" dxfId="2371" priority="311">
      <formula>AND(J181=TRUE,H182=TRUE)</formula>
    </cfRule>
  </conditionalFormatting>
  <conditionalFormatting sqref="U180:V180">
    <cfRule type="expression" dxfId="2370" priority="316">
      <formula>AND($J181=TRUE,H182=TRUE)</formula>
    </cfRule>
  </conditionalFormatting>
  <conditionalFormatting sqref="U184:V184">
    <cfRule type="expression" dxfId="2369" priority="315">
      <formula>AND(U183=TRUE,J181=TRUE,H182=TRUE)</formula>
    </cfRule>
  </conditionalFormatting>
  <conditionalFormatting sqref="U186:V186">
    <cfRule type="expression" dxfId="2368" priority="314">
      <formula>AND(U185=TRUE,J181=TRUE,H182=TRUE)</formula>
    </cfRule>
  </conditionalFormatting>
  <conditionalFormatting sqref="U190:V190">
    <cfRule type="expression" dxfId="2367" priority="292">
      <formula>AND(J193=TRUE,H194=TRUE)</formula>
    </cfRule>
  </conditionalFormatting>
  <conditionalFormatting sqref="U192:V192">
    <cfRule type="expression" dxfId="2366" priority="297">
      <formula>AND($J193=TRUE,H194=TRUE)</formula>
    </cfRule>
  </conditionalFormatting>
  <conditionalFormatting sqref="U196:V196">
    <cfRule type="expression" dxfId="2365" priority="296">
      <formula>AND(U195=TRUE,J193=TRUE,H194=TRUE)</formula>
    </cfRule>
  </conditionalFormatting>
  <conditionalFormatting sqref="U198:V198">
    <cfRule type="expression" dxfId="2364" priority="295">
      <formula>AND(U197=TRUE,J193=TRUE,H194=TRUE)</formula>
    </cfRule>
  </conditionalFormatting>
  <conditionalFormatting sqref="U202:V202">
    <cfRule type="expression" dxfId="2363" priority="271">
      <formula>AND(J205=TRUE,H206=TRUE)</formula>
    </cfRule>
  </conditionalFormatting>
  <conditionalFormatting sqref="U204:V204">
    <cfRule type="expression" dxfId="2362" priority="276">
      <formula>AND($J205=TRUE,H206=TRUE)</formula>
    </cfRule>
  </conditionalFormatting>
  <conditionalFormatting sqref="U208:V208">
    <cfRule type="expression" dxfId="2361" priority="275">
      <formula>AND(U207=TRUE,J205=TRUE,H206=TRUE)</formula>
    </cfRule>
  </conditionalFormatting>
  <conditionalFormatting sqref="U210:V210">
    <cfRule type="expression" dxfId="2360" priority="274">
      <formula>AND(U209=TRUE,J205=TRUE,H206=TRUE)</formula>
    </cfRule>
  </conditionalFormatting>
  <conditionalFormatting sqref="U214:V214">
    <cfRule type="expression" dxfId="2359" priority="252">
      <formula>AND(J217=TRUE,H218=TRUE)</formula>
    </cfRule>
  </conditionalFormatting>
  <conditionalFormatting sqref="U216:V216">
    <cfRule type="expression" dxfId="2358" priority="257">
      <formula>AND($J217=TRUE,H218=TRUE)</formula>
    </cfRule>
  </conditionalFormatting>
  <conditionalFormatting sqref="U220:V220">
    <cfRule type="expression" dxfId="2357" priority="256">
      <formula>AND(U219=TRUE,J217=TRUE,H218=TRUE)</formula>
    </cfRule>
  </conditionalFormatting>
  <conditionalFormatting sqref="U222:V222">
    <cfRule type="expression" dxfId="2356" priority="255">
      <formula>AND(U221=TRUE,J217=TRUE,H218=TRUE)</formula>
    </cfRule>
  </conditionalFormatting>
  <conditionalFormatting sqref="U226:V226">
    <cfRule type="expression" dxfId="2355" priority="233">
      <formula>AND(J229=TRUE,H230=TRUE)</formula>
    </cfRule>
  </conditionalFormatting>
  <conditionalFormatting sqref="U228:V228">
    <cfRule type="expression" dxfId="2354" priority="238">
      <formula>AND($J229=TRUE,H230=TRUE)</formula>
    </cfRule>
  </conditionalFormatting>
  <conditionalFormatting sqref="U232:V232">
    <cfRule type="expression" dxfId="2353" priority="237">
      <formula>AND(U231=TRUE,J229=TRUE,H230=TRUE)</formula>
    </cfRule>
  </conditionalFormatting>
  <conditionalFormatting sqref="U234:V234">
    <cfRule type="expression" dxfId="2352" priority="236">
      <formula>AND(U233=TRUE,J229=TRUE,H230=TRUE)</formula>
    </cfRule>
  </conditionalFormatting>
  <conditionalFormatting sqref="U238:V238">
    <cfRule type="expression" dxfId="2351" priority="214">
      <formula>AND(J241=TRUE,H242=TRUE)</formula>
    </cfRule>
  </conditionalFormatting>
  <conditionalFormatting sqref="U240:V240">
    <cfRule type="expression" dxfId="2350" priority="219">
      <formula>AND($J241=TRUE,H242=TRUE)</formula>
    </cfRule>
  </conditionalFormatting>
  <conditionalFormatting sqref="U244:V244">
    <cfRule type="expression" dxfId="2349" priority="218">
      <formula>AND(U243=TRUE,J241=TRUE,H242=TRUE)</formula>
    </cfRule>
  </conditionalFormatting>
  <conditionalFormatting sqref="U246:V246">
    <cfRule type="expression" dxfId="2348" priority="217">
      <formula>AND(U245=TRUE,J241=TRUE,H242=TRUE)</formula>
    </cfRule>
  </conditionalFormatting>
  <conditionalFormatting sqref="U14:W14">
    <cfRule type="expression" dxfId="2347" priority="6325">
      <formula>AND(H14=TRUE,J13=TRUE)</formula>
    </cfRule>
  </conditionalFormatting>
  <conditionalFormatting sqref="U26:W26">
    <cfRule type="expression" dxfId="2346" priority="563">
      <formula>AND(H26=TRUE,J25=TRUE)</formula>
    </cfRule>
  </conditionalFormatting>
  <conditionalFormatting sqref="U38:W38">
    <cfRule type="expression" dxfId="2345" priority="543">
      <formula>AND(H38=TRUE,J37=TRUE)</formula>
    </cfRule>
  </conditionalFormatting>
  <conditionalFormatting sqref="U50:W50">
    <cfRule type="expression" dxfId="2344" priority="524">
      <formula>AND(H50=TRUE,J49=TRUE)</formula>
    </cfRule>
  </conditionalFormatting>
  <conditionalFormatting sqref="U62:W62">
    <cfRule type="expression" dxfId="2343" priority="505">
      <formula>AND(H62=TRUE,J61=TRUE)</formula>
    </cfRule>
  </conditionalFormatting>
  <conditionalFormatting sqref="U74:W74">
    <cfRule type="expression" dxfId="2342" priority="486">
      <formula>AND(H74=TRUE,J73=TRUE)</formula>
    </cfRule>
  </conditionalFormatting>
  <conditionalFormatting sqref="U86:W86">
    <cfRule type="expression" dxfId="2341" priority="468">
      <formula>AND(H86=TRUE,J85=TRUE)</formula>
    </cfRule>
  </conditionalFormatting>
  <conditionalFormatting sqref="U98:W98">
    <cfRule type="expression" dxfId="2340" priority="452">
      <formula>AND(H98=TRUE,J97=TRUE)</formula>
    </cfRule>
  </conditionalFormatting>
  <conditionalFormatting sqref="U110:W110">
    <cfRule type="expression" dxfId="2339" priority="433">
      <formula>AND(H110=TRUE,J109=TRUE)</formula>
    </cfRule>
  </conditionalFormatting>
  <conditionalFormatting sqref="U122:W122">
    <cfRule type="expression" dxfId="2338" priority="414">
      <formula>AND(H122=TRUE,J121=TRUE)</formula>
    </cfRule>
  </conditionalFormatting>
  <conditionalFormatting sqref="U134:W134">
    <cfRule type="expression" dxfId="2337" priority="397">
      <formula>AND(H134=TRUE,J133=TRUE)</formula>
    </cfRule>
  </conditionalFormatting>
  <conditionalFormatting sqref="U146:W146">
    <cfRule type="expression" dxfId="2336" priority="376">
      <formula>AND(H146=TRUE,J145=TRUE)</formula>
    </cfRule>
  </conditionalFormatting>
  <conditionalFormatting sqref="U158:W158">
    <cfRule type="expression" dxfId="2335" priority="357">
      <formula>AND(H158=TRUE,J157=TRUE)</formula>
    </cfRule>
  </conditionalFormatting>
  <conditionalFormatting sqref="U170:W170">
    <cfRule type="expression" dxfId="2334" priority="338">
      <formula>AND(H170=TRUE,J169=TRUE)</formula>
    </cfRule>
  </conditionalFormatting>
  <conditionalFormatting sqref="U182:W182">
    <cfRule type="expression" dxfId="2333" priority="319">
      <formula>AND(H182=TRUE,J181=TRUE)</formula>
    </cfRule>
  </conditionalFormatting>
  <conditionalFormatting sqref="U194:W194">
    <cfRule type="expression" dxfId="2332" priority="300">
      <formula>AND(H194=TRUE,J193=TRUE)</formula>
    </cfRule>
  </conditionalFormatting>
  <conditionalFormatting sqref="U206:W206">
    <cfRule type="expression" dxfId="2331" priority="281">
      <formula>AND(H206=TRUE,J205=TRUE)</formula>
    </cfRule>
  </conditionalFormatting>
  <conditionalFormatting sqref="U218:W218">
    <cfRule type="expression" dxfId="2330" priority="260">
      <formula>AND(H218=TRUE,J217=TRUE)</formula>
    </cfRule>
  </conditionalFormatting>
  <conditionalFormatting sqref="U230:W230">
    <cfRule type="expression" dxfId="2329" priority="241">
      <formula>AND(H230=TRUE,J229=TRUE)</formula>
    </cfRule>
  </conditionalFormatting>
  <conditionalFormatting sqref="U242:W242">
    <cfRule type="expression" dxfId="2328" priority="222">
      <formula>AND(H242=TRUE,J241=TRUE)</formula>
    </cfRule>
  </conditionalFormatting>
  <conditionalFormatting sqref="V11">
    <cfRule type="expression" dxfId="2327" priority="994">
      <formula>AND($J13=TRUE,$H14=TRUE)</formula>
    </cfRule>
  </conditionalFormatting>
  <conditionalFormatting sqref="V13">
    <cfRule type="expression" dxfId="2326" priority="6320">
      <formula>AND(H14=TRUE,J13=TRUE)</formula>
    </cfRule>
  </conditionalFormatting>
  <conditionalFormatting sqref="V23">
    <cfRule type="expression" dxfId="2325" priority="555">
      <formula>AND($J25=TRUE,$H26=TRUE)</formula>
    </cfRule>
  </conditionalFormatting>
  <conditionalFormatting sqref="V25">
    <cfRule type="expression" dxfId="2324" priority="562">
      <formula>AND(H26=TRUE,J25=TRUE)</formula>
    </cfRule>
  </conditionalFormatting>
  <conditionalFormatting sqref="V27 V15 V39 V51 V63 V75 V87 V99 V111 V123 V135 V147 V159 V171 V183 V195 V207 V219 V231 V243">
    <cfRule type="expression" dxfId="2323" priority="4634">
      <formula>AND(H14=TRUE,J13=TRUE)</formula>
    </cfRule>
  </conditionalFormatting>
  <conditionalFormatting sqref="V29 V17 V41 V53 V65 V77 V89 V101 V113 V125 V137 V149 V161 V173 V185 V197 V209 V221 V233 V245">
    <cfRule type="expression" dxfId="2322" priority="4635">
      <formula>AND(H14=TRUE,J13=TRUE)</formula>
    </cfRule>
  </conditionalFormatting>
  <conditionalFormatting sqref="V35">
    <cfRule type="expression" dxfId="2321" priority="536">
      <formula>AND($J37=TRUE,$H38=TRUE)</formula>
    </cfRule>
  </conditionalFormatting>
  <conditionalFormatting sqref="V37">
    <cfRule type="expression" dxfId="2320" priority="542">
      <formula>AND(H38=TRUE,J37=TRUE)</formula>
    </cfRule>
  </conditionalFormatting>
  <conditionalFormatting sqref="V47">
    <cfRule type="expression" dxfId="2319" priority="517">
      <formula>AND($J49=TRUE,$H50=TRUE)</formula>
    </cfRule>
  </conditionalFormatting>
  <conditionalFormatting sqref="V49">
    <cfRule type="expression" dxfId="2318" priority="523">
      <formula>AND(H50=TRUE,J49=TRUE)</formula>
    </cfRule>
  </conditionalFormatting>
  <conditionalFormatting sqref="V59">
    <cfRule type="expression" dxfId="2317" priority="498">
      <formula>AND($J61=TRUE,$H62=TRUE)</formula>
    </cfRule>
  </conditionalFormatting>
  <conditionalFormatting sqref="V61">
    <cfRule type="expression" dxfId="2316" priority="504">
      <formula>AND(H62=TRUE,J61=TRUE)</formula>
    </cfRule>
  </conditionalFormatting>
  <conditionalFormatting sqref="V71">
    <cfRule type="expression" dxfId="2315" priority="479">
      <formula>AND($J73=TRUE,$H74=TRUE)</formula>
    </cfRule>
  </conditionalFormatting>
  <conditionalFormatting sqref="V73">
    <cfRule type="expression" dxfId="2314" priority="485">
      <formula>AND(H74=TRUE,J73=TRUE)</formula>
    </cfRule>
  </conditionalFormatting>
  <conditionalFormatting sqref="V83">
    <cfRule type="expression" dxfId="2313" priority="462">
      <formula>AND($J85=TRUE,$H86=TRUE)</formula>
    </cfRule>
  </conditionalFormatting>
  <conditionalFormatting sqref="V85">
    <cfRule type="expression" dxfId="2312" priority="467">
      <formula>AND(H86=TRUE,J85=TRUE)</formula>
    </cfRule>
  </conditionalFormatting>
  <conditionalFormatting sqref="V95">
    <cfRule type="expression" dxfId="2311" priority="445">
      <formula>AND($J97=TRUE,$H98=TRUE)</formula>
    </cfRule>
  </conditionalFormatting>
  <conditionalFormatting sqref="V97">
    <cfRule type="expression" dxfId="2310" priority="451">
      <formula>AND(H98=TRUE,J97=TRUE)</formula>
    </cfRule>
  </conditionalFormatting>
  <conditionalFormatting sqref="V107">
    <cfRule type="expression" dxfId="2309" priority="426">
      <formula>AND($J109=TRUE,$H110=TRUE)</formula>
    </cfRule>
  </conditionalFormatting>
  <conditionalFormatting sqref="V109">
    <cfRule type="expression" dxfId="2308" priority="432">
      <formula>AND(H110=TRUE,J109=TRUE)</formula>
    </cfRule>
  </conditionalFormatting>
  <conditionalFormatting sqref="V119">
    <cfRule type="expression" dxfId="2307" priority="407">
      <formula>AND($J121=TRUE,$H122=TRUE)</formula>
    </cfRule>
  </conditionalFormatting>
  <conditionalFormatting sqref="V121">
    <cfRule type="expression" dxfId="2306" priority="413">
      <formula>AND(H122=TRUE,J121=TRUE)</formula>
    </cfRule>
  </conditionalFormatting>
  <conditionalFormatting sqref="V131">
    <cfRule type="expression" dxfId="2305" priority="390">
      <formula>AND($J133=TRUE,$H134=TRUE)</formula>
    </cfRule>
  </conditionalFormatting>
  <conditionalFormatting sqref="V133">
    <cfRule type="expression" dxfId="2304" priority="396">
      <formula>AND(H134=TRUE,J133=TRUE)</formula>
    </cfRule>
  </conditionalFormatting>
  <conditionalFormatting sqref="V143">
    <cfRule type="expression" dxfId="2303" priority="369">
      <formula>AND($J145=TRUE,$H146=TRUE)</formula>
    </cfRule>
  </conditionalFormatting>
  <conditionalFormatting sqref="V145">
    <cfRule type="expression" dxfId="2302" priority="375">
      <formula>AND(H146=TRUE,J145=TRUE)</formula>
    </cfRule>
  </conditionalFormatting>
  <conditionalFormatting sqref="V155">
    <cfRule type="expression" dxfId="2301" priority="350">
      <formula>AND($J157=TRUE,$H158=TRUE)</formula>
    </cfRule>
  </conditionalFormatting>
  <conditionalFormatting sqref="V157">
    <cfRule type="expression" dxfId="2300" priority="356">
      <formula>AND(H158=TRUE,J157=TRUE)</formula>
    </cfRule>
  </conditionalFormatting>
  <conditionalFormatting sqref="V167">
    <cfRule type="expression" dxfId="2299" priority="331">
      <formula>AND($J169=TRUE,$H170=TRUE)</formula>
    </cfRule>
  </conditionalFormatting>
  <conditionalFormatting sqref="V169">
    <cfRule type="expression" dxfId="2298" priority="337">
      <formula>AND(H170=TRUE,J169=TRUE)</formula>
    </cfRule>
  </conditionalFormatting>
  <conditionalFormatting sqref="V179">
    <cfRule type="expression" dxfId="2297" priority="312">
      <formula>AND($J181=TRUE,$H182=TRUE)</formula>
    </cfRule>
  </conditionalFormatting>
  <conditionalFormatting sqref="V181">
    <cfRule type="expression" dxfId="2296" priority="318">
      <formula>AND(H182=TRUE,J181=TRUE)</formula>
    </cfRule>
  </conditionalFormatting>
  <conditionalFormatting sqref="V191">
    <cfRule type="expression" dxfId="2295" priority="293">
      <formula>AND($J193=TRUE,$H194=TRUE)</formula>
    </cfRule>
  </conditionalFormatting>
  <conditionalFormatting sqref="V193">
    <cfRule type="expression" dxfId="2294" priority="299">
      <formula>AND(H194=TRUE,J193=TRUE)</formula>
    </cfRule>
  </conditionalFormatting>
  <conditionalFormatting sqref="V203">
    <cfRule type="expression" dxfId="2293" priority="272">
      <formula>AND($J205=TRUE,$H206=TRUE)</formula>
    </cfRule>
  </conditionalFormatting>
  <conditionalFormatting sqref="V205">
    <cfRule type="expression" dxfId="2292" priority="280">
      <formula>AND(H206=TRUE,J205=TRUE)</formula>
    </cfRule>
  </conditionalFormatting>
  <conditionalFormatting sqref="V215">
    <cfRule type="expression" dxfId="2291" priority="253">
      <formula>AND($J217=TRUE,$H218=TRUE)</formula>
    </cfRule>
  </conditionalFormatting>
  <conditionalFormatting sqref="V217">
    <cfRule type="expression" dxfId="2290" priority="259">
      <formula>AND(H218=TRUE,J217=TRUE)</formula>
    </cfRule>
  </conditionalFormatting>
  <conditionalFormatting sqref="V227">
    <cfRule type="expression" dxfId="2289" priority="234">
      <formula>AND($J229=TRUE,$H230=TRUE)</formula>
    </cfRule>
  </conditionalFormatting>
  <conditionalFormatting sqref="V229">
    <cfRule type="expression" dxfId="2288" priority="240">
      <formula>AND(H230=TRUE,J229=TRUE)</formula>
    </cfRule>
  </conditionalFormatting>
  <conditionalFormatting sqref="V239">
    <cfRule type="expression" dxfId="2287" priority="215">
      <formula>AND($J241=TRUE,$H242=TRUE)</formula>
    </cfRule>
  </conditionalFormatting>
  <conditionalFormatting sqref="V241">
    <cfRule type="expression" dxfId="2286" priority="221">
      <formula>AND(H242=TRUE,J241=TRUE)</formula>
    </cfRule>
  </conditionalFormatting>
  <conditionalFormatting sqref="X3">
    <cfRule type="expression" dxfId="2285" priority="6496">
      <formula>OR(E13,E25,E37,E49,E61,E73,E85,E97,E109,E121,E133,E145,E157,E169,E181,E193,E205,E217,E229,E241)=TRUE</formula>
    </cfRule>
  </conditionalFormatting>
  <conditionalFormatting sqref="X12">
    <cfRule type="expression" dxfId="2284" priority="3676">
      <formula>E13=TRUE</formula>
    </cfRule>
  </conditionalFormatting>
  <conditionalFormatting sqref="X13">
    <cfRule type="expression" dxfId="2283" priority="3742">
      <formula>E13=TRUE</formula>
    </cfRule>
  </conditionalFormatting>
  <conditionalFormatting sqref="X14">
    <cfRule type="expression" dxfId="2282" priority="3741">
      <formula>E13=TRUE</formula>
    </cfRule>
  </conditionalFormatting>
  <conditionalFormatting sqref="X24">
    <cfRule type="expression" dxfId="2281" priority="3593">
      <formula>E25=TRUE</formula>
    </cfRule>
  </conditionalFormatting>
  <conditionalFormatting sqref="X25">
    <cfRule type="expression" dxfId="2280" priority="3602">
      <formula>E25=TRUE</formula>
    </cfRule>
  </conditionalFormatting>
  <conditionalFormatting sqref="X26">
    <cfRule type="expression" dxfId="2279" priority="3601">
      <formula>E25=TRUE</formula>
    </cfRule>
  </conditionalFormatting>
  <conditionalFormatting sqref="X36">
    <cfRule type="expression" dxfId="2278" priority="3530">
      <formula>E37=TRUE</formula>
    </cfRule>
  </conditionalFormatting>
  <conditionalFormatting sqref="X37">
    <cfRule type="expression" dxfId="2277" priority="3539">
      <formula>E37=TRUE</formula>
    </cfRule>
  </conditionalFormatting>
  <conditionalFormatting sqref="X38">
    <cfRule type="expression" dxfId="2276" priority="3538">
      <formula>E37=TRUE</formula>
    </cfRule>
  </conditionalFormatting>
  <conditionalFormatting sqref="X48">
    <cfRule type="expression" dxfId="2275" priority="3468">
      <formula>E49=TRUE</formula>
    </cfRule>
  </conditionalFormatting>
  <conditionalFormatting sqref="X49">
    <cfRule type="expression" dxfId="2274" priority="3477">
      <formula>E49=TRUE</formula>
    </cfRule>
  </conditionalFormatting>
  <conditionalFormatting sqref="X50">
    <cfRule type="expression" dxfId="2273" priority="3476">
      <formula>E49=TRUE</formula>
    </cfRule>
  </conditionalFormatting>
  <conditionalFormatting sqref="X60">
    <cfRule type="expression" dxfId="2272" priority="3406">
      <formula>E61=TRUE</formula>
    </cfRule>
  </conditionalFormatting>
  <conditionalFormatting sqref="X61">
    <cfRule type="expression" dxfId="2271" priority="3415">
      <formula>E61=TRUE</formula>
    </cfRule>
  </conditionalFormatting>
  <conditionalFormatting sqref="X62">
    <cfRule type="expression" dxfId="2270" priority="3414">
      <formula>E61=TRUE</formula>
    </cfRule>
  </conditionalFormatting>
  <conditionalFormatting sqref="X72">
    <cfRule type="expression" dxfId="2269" priority="3344">
      <formula>E73=TRUE</formula>
    </cfRule>
  </conditionalFormatting>
  <conditionalFormatting sqref="X73">
    <cfRule type="expression" dxfId="2268" priority="3353">
      <formula>E73=TRUE</formula>
    </cfRule>
  </conditionalFormatting>
  <conditionalFormatting sqref="X74">
    <cfRule type="expression" dxfId="2267" priority="3352">
      <formula>E73=TRUE</formula>
    </cfRule>
  </conditionalFormatting>
  <conditionalFormatting sqref="X84">
    <cfRule type="expression" dxfId="2266" priority="3282">
      <formula>E85=TRUE</formula>
    </cfRule>
  </conditionalFormatting>
  <conditionalFormatting sqref="X85">
    <cfRule type="expression" dxfId="2265" priority="3291">
      <formula>E85=TRUE</formula>
    </cfRule>
  </conditionalFormatting>
  <conditionalFormatting sqref="X86">
    <cfRule type="expression" dxfId="2264" priority="3290">
      <formula>E85=TRUE</formula>
    </cfRule>
  </conditionalFormatting>
  <conditionalFormatting sqref="X96">
    <cfRule type="expression" dxfId="2263" priority="3220">
      <formula>E97=TRUE</formula>
    </cfRule>
  </conditionalFormatting>
  <conditionalFormatting sqref="X97">
    <cfRule type="expression" dxfId="2262" priority="3229">
      <formula>E97=TRUE</formula>
    </cfRule>
  </conditionalFormatting>
  <conditionalFormatting sqref="X98">
    <cfRule type="expression" dxfId="2261" priority="3228">
      <formula>E97=TRUE</formula>
    </cfRule>
  </conditionalFormatting>
  <conditionalFormatting sqref="X108">
    <cfRule type="expression" dxfId="2260" priority="3132">
      <formula>E109=TRUE</formula>
    </cfRule>
  </conditionalFormatting>
  <conditionalFormatting sqref="X109">
    <cfRule type="expression" dxfId="2259" priority="3141">
      <formula>E109=TRUE</formula>
    </cfRule>
  </conditionalFormatting>
  <conditionalFormatting sqref="X110">
    <cfRule type="expression" dxfId="2258" priority="3140">
      <formula>E109=TRUE</formula>
    </cfRule>
  </conditionalFormatting>
  <conditionalFormatting sqref="X120">
    <cfRule type="expression" dxfId="2257" priority="3070">
      <formula>E121=TRUE</formula>
    </cfRule>
  </conditionalFormatting>
  <conditionalFormatting sqref="X121">
    <cfRule type="expression" dxfId="2256" priority="3079">
      <formula>E121=TRUE</formula>
    </cfRule>
  </conditionalFormatting>
  <conditionalFormatting sqref="X122">
    <cfRule type="expression" dxfId="2255" priority="3078">
      <formula>E121=TRUE</formula>
    </cfRule>
  </conditionalFormatting>
  <conditionalFormatting sqref="X132">
    <cfRule type="expression" dxfId="2254" priority="3008">
      <formula>E133=TRUE</formula>
    </cfRule>
  </conditionalFormatting>
  <conditionalFormatting sqref="X133">
    <cfRule type="expression" dxfId="2253" priority="3017">
      <formula>E133=TRUE</formula>
    </cfRule>
  </conditionalFormatting>
  <conditionalFormatting sqref="X134">
    <cfRule type="expression" dxfId="2252" priority="3016">
      <formula>E133=TRUE</formula>
    </cfRule>
  </conditionalFormatting>
  <conditionalFormatting sqref="X144">
    <cfRule type="expression" dxfId="2251" priority="2946">
      <formula>E145=TRUE</formula>
    </cfRule>
  </conditionalFormatting>
  <conditionalFormatting sqref="X145">
    <cfRule type="expression" dxfId="2250" priority="2955">
      <formula>E145=TRUE</formula>
    </cfRule>
  </conditionalFormatting>
  <conditionalFormatting sqref="X146">
    <cfRule type="expression" dxfId="2249" priority="2954">
      <formula>E145=TRUE</formula>
    </cfRule>
  </conditionalFormatting>
  <conditionalFormatting sqref="X156">
    <cfRule type="expression" dxfId="2248" priority="2884">
      <formula>E157=TRUE</formula>
    </cfRule>
  </conditionalFormatting>
  <conditionalFormatting sqref="X157">
    <cfRule type="expression" dxfId="2247" priority="2893">
      <formula>E157=TRUE</formula>
    </cfRule>
  </conditionalFormatting>
  <conditionalFormatting sqref="X158">
    <cfRule type="expression" dxfId="2246" priority="2892">
      <formula>E157=TRUE</formula>
    </cfRule>
  </conditionalFormatting>
  <conditionalFormatting sqref="X168">
    <cfRule type="expression" dxfId="2245" priority="2822">
      <formula>E169=TRUE</formula>
    </cfRule>
  </conditionalFormatting>
  <conditionalFormatting sqref="X169">
    <cfRule type="expression" dxfId="2244" priority="2831">
      <formula>E169=TRUE</formula>
    </cfRule>
  </conditionalFormatting>
  <conditionalFormatting sqref="X170">
    <cfRule type="expression" dxfId="2243" priority="2830">
      <formula>E169=TRUE</formula>
    </cfRule>
  </conditionalFormatting>
  <conditionalFormatting sqref="X180">
    <cfRule type="expression" dxfId="2242" priority="2760">
      <formula>E181=TRUE</formula>
    </cfRule>
  </conditionalFormatting>
  <conditionalFormatting sqref="X181">
    <cfRule type="expression" dxfId="2241" priority="2769">
      <formula>E181=TRUE</formula>
    </cfRule>
  </conditionalFormatting>
  <conditionalFormatting sqref="X182">
    <cfRule type="expression" dxfId="2240" priority="2768">
      <formula>E181=TRUE</formula>
    </cfRule>
  </conditionalFormatting>
  <conditionalFormatting sqref="X192">
    <cfRule type="expression" dxfId="2239" priority="2698">
      <formula>E193=TRUE</formula>
    </cfRule>
  </conditionalFormatting>
  <conditionalFormatting sqref="X193">
    <cfRule type="expression" dxfId="2238" priority="2707">
      <formula>E193=TRUE</formula>
    </cfRule>
  </conditionalFormatting>
  <conditionalFormatting sqref="X194">
    <cfRule type="expression" dxfId="2237" priority="2706">
      <formula>E193=TRUE</formula>
    </cfRule>
  </conditionalFormatting>
  <conditionalFormatting sqref="X204">
    <cfRule type="expression" dxfId="2236" priority="2636">
      <formula>E205=TRUE</formula>
    </cfRule>
  </conditionalFormatting>
  <conditionalFormatting sqref="X205">
    <cfRule type="expression" dxfId="2235" priority="2645">
      <formula>E205=TRUE</formula>
    </cfRule>
  </conditionalFormatting>
  <conditionalFormatting sqref="X206">
    <cfRule type="expression" dxfId="2234" priority="2644">
      <formula>E205=TRUE</formula>
    </cfRule>
  </conditionalFormatting>
  <conditionalFormatting sqref="X216">
    <cfRule type="expression" dxfId="2233" priority="2574">
      <formula>E217=TRUE</formula>
    </cfRule>
  </conditionalFormatting>
  <conditionalFormatting sqref="X217">
    <cfRule type="expression" dxfId="2232" priority="2583">
      <formula>E217=TRUE</formula>
    </cfRule>
  </conditionalFormatting>
  <conditionalFormatting sqref="X218">
    <cfRule type="expression" dxfId="2231" priority="2582">
      <formula>E217=TRUE</formula>
    </cfRule>
  </conditionalFormatting>
  <conditionalFormatting sqref="X228">
    <cfRule type="expression" dxfId="2230" priority="2512">
      <formula>E229=TRUE</formula>
    </cfRule>
  </conditionalFormatting>
  <conditionalFormatting sqref="X229">
    <cfRule type="expression" dxfId="2229" priority="2521">
      <formula>E229=TRUE</formula>
    </cfRule>
  </conditionalFormatting>
  <conditionalFormatting sqref="X230">
    <cfRule type="expression" dxfId="2228" priority="2520">
      <formula>E229=TRUE</formula>
    </cfRule>
  </conditionalFormatting>
  <conditionalFormatting sqref="X240">
    <cfRule type="expression" dxfId="2227" priority="2450">
      <formula>E241=TRUE</formula>
    </cfRule>
  </conditionalFormatting>
  <conditionalFormatting sqref="X241">
    <cfRule type="expression" dxfId="2226" priority="2459">
      <formula>E241=TRUE</formula>
    </cfRule>
  </conditionalFormatting>
  <conditionalFormatting sqref="X242">
    <cfRule type="expression" dxfId="2225" priority="2458">
      <formula>E241=TRUE</formula>
    </cfRule>
  </conditionalFormatting>
  <conditionalFormatting sqref="Y10:Y11 Y82:Y83">
    <cfRule type="expression" dxfId="2224" priority="3158">
      <formula>E13=TRUE</formula>
    </cfRule>
  </conditionalFormatting>
  <conditionalFormatting sqref="Y12">
    <cfRule type="expression" dxfId="2223" priority="3746">
      <formula>E13=TRUE</formula>
    </cfRule>
  </conditionalFormatting>
  <conditionalFormatting sqref="Y13">
    <cfRule type="expression" dxfId="2222" priority="3745">
      <formula>E13=TRUE</formula>
    </cfRule>
  </conditionalFormatting>
  <conditionalFormatting sqref="Y14">
    <cfRule type="expression" dxfId="2221" priority="3744">
      <formula>E13=TRUE</formula>
    </cfRule>
  </conditionalFormatting>
  <conditionalFormatting sqref="Y22:Y23">
    <cfRule type="expression" dxfId="2220" priority="3554">
      <formula>E25=TRUE</formula>
    </cfRule>
  </conditionalFormatting>
  <conditionalFormatting sqref="Y24">
    <cfRule type="expression" dxfId="2219" priority="3605">
      <formula>E25=TRUE</formula>
    </cfRule>
  </conditionalFormatting>
  <conditionalFormatting sqref="Y25">
    <cfRule type="expression" dxfId="2218" priority="3604">
      <formula>E25=TRUE</formula>
    </cfRule>
  </conditionalFormatting>
  <conditionalFormatting sqref="Y26">
    <cfRule type="expression" dxfId="2217" priority="3603">
      <formula>E25=TRUE</formula>
    </cfRule>
  </conditionalFormatting>
  <conditionalFormatting sqref="Y34:Y35">
    <cfRule type="expression" dxfId="2216" priority="3157">
      <formula>E37=TRUE</formula>
    </cfRule>
  </conditionalFormatting>
  <conditionalFormatting sqref="Y36">
    <cfRule type="expression" dxfId="2215" priority="3542">
      <formula>E37=TRUE</formula>
    </cfRule>
  </conditionalFormatting>
  <conditionalFormatting sqref="Y37">
    <cfRule type="expression" dxfId="2214" priority="3541">
      <formula>E37=TRUE</formula>
    </cfRule>
  </conditionalFormatting>
  <conditionalFormatting sqref="Y38">
    <cfRule type="expression" dxfId="2213" priority="3540">
      <formula>E37=TRUE</formula>
    </cfRule>
  </conditionalFormatting>
  <conditionalFormatting sqref="Y46:Y47">
    <cfRule type="expression" dxfId="2212" priority="3156">
      <formula>E49=TRUE</formula>
    </cfRule>
  </conditionalFormatting>
  <conditionalFormatting sqref="Y48">
    <cfRule type="expression" dxfId="2211" priority="3480">
      <formula>E49=TRUE</formula>
    </cfRule>
  </conditionalFormatting>
  <conditionalFormatting sqref="Y49">
    <cfRule type="expression" dxfId="2210" priority="3479">
      <formula>E49=TRUE</formula>
    </cfRule>
  </conditionalFormatting>
  <conditionalFormatting sqref="Y50">
    <cfRule type="expression" dxfId="2209" priority="3478">
      <formula>E49=TRUE</formula>
    </cfRule>
  </conditionalFormatting>
  <conditionalFormatting sqref="Y58:Y59">
    <cfRule type="expression" dxfId="2208" priority="3155">
      <formula>E61=TRUE</formula>
    </cfRule>
  </conditionalFormatting>
  <conditionalFormatting sqref="Y60">
    <cfRule type="expression" dxfId="2207" priority="3418">
      <formula>E61=TRUE</formula>
    </cfRule>
  </conditionalFormatting>
  <conditionalFormatting sqref="Y61">
    <cfRule type="expression" dxfId="2206" priority="3417">
      <formula>E61=TRUE</formula>
    </cfRule>
  </conditionalFormatting>
  <conditionalFormatting sqref="Y62">
    <cfRule type="expression" dxfId="2205" priority="3416">
      <formula>E61=TRUE</formula>
    </cfRule>
  </conditionalFormatting>
  <conditionalFormatting sqref="Y70:Y71">
    <cfRule type="expression" dxfId="2204" priority="3154">
      <formula>E73=TRUE</formula>
    </cfRule>
  </conditionalFormatting>
  <conditionalFormatting sqref="Y72">
    <cfRule type="expression" dxfId="2203" priority="3356">
      <formula>E73=TRUE</formula>
    </cfRule>
  </conditionalFormatting>
  <conditionalFormatting sqref="Y73">
    <cfRule type="expression" dxfId="2202" priority="3355">
      <formula>E73=TRUE</formula>
    </cfRule>
  </conditionalFormatting>
  <conditionalFormatting sqref="Y74">
    <cfRule type="expression" dxfId="2201" priority="3354">
      <formula>E73=TRUE</formula>
    </cfRule>
  </conditionalFormatting>
  <conditionalFormatting sqref="Y84">
    <cfRule type="expression" dxfId="2200" priority="3294">
      <formula>E85=TRUE</formula>
    </cfRule>
  </conditionalFormatting>
  <conditionalFormatting sqref="Y85">
    <cfRule type="expression" dxfId="2199" priority="3293">
      <formula>E85=TRUE</formula>
    </cfRule>
  </conditionalFormatting>
  <conditionalFormatting sqref="Y86">
    <cfRule type="expression" dxfId="2198" priority="3292">
      <formula>E85=TRUE</formula>
    </cfRule>
  </conditionalFormatting>
  <conditionalFormatting sqref="Y94:Y95">
    <cfRule type="expression" dxfId="2197" priority="3152">
      <formula>E97=TRUE</formula>
    </cfRule>
  </conditionalFormatting>
  <conditionalFormatting sqref="Y96">
    <cfRule type="expression" dxfId="2196" priority="3232">
      <formula>E97=TRUE</formula>
    </cfRule>
  </conditionalFormatting>
  <conditionalFormatting sqref="Y97">
    <cfRule type="expression" dxfId="2195" priority="3231">
      <formula>E97=TRUE</formula>
    </cfRule>
  </conditionalFormatting>
  <conditionalFormatting sqref="Y98">
    <cfRule type="expression" dxfId="2194" priority="3230">
      <formula>E97=TRUE</formula>
    </cfRule>
  </conditionalFormatting>
  <conditionalFormatting sqref="Y106:Y107">
    <cfRule type="expression" dxfId="2193" priority="3090">
      <formula>E109=TRUE</formula>
    </cfRule>
  </conditionalFormatting>
  <conditionalFormatting sqref="Y108">
    <cfRule type="expression" dxfId="2192" priority="3144">
      <formula>E109=TRUE</formula>
    </cfRule>
  </conditionalFormatting>
  <conditionalFormatting sqref="Y109">
    <cfRule type="expression" dxfId="2191" priority="3143">
      <formula>E109=TRUE</formula>
    </cfRule>
  </conditionalFormatting>
  <conditionalFormatting sqref="Y110">
    <cfRule type="expression" dxfId="2190" priority="3142">
      <formula>E109=TRUE</formula>
    </cfRule>
  </conditionalFormatting>
  <conditionalFormatting sqref="Y118:Y119">
    <cfRule type="expression" dxfId="2189" priority="3028">
      <formula>E121=TRUE</formula>
    </cfRule>
  </conditionalFormatting>
  <conditionalFormatting sqref="Y120">
    <cfRule type="expression" dxfId="2188" priority="3082">
      <formula>E121=TRUE</formula>
    </cfRule>
  </conditionalFormatting>
  <conditionalFormatting sqref="Y121">
    <cfRule type="expression" dxfId="2187" priority="3081">
      <formula>E121=TRUE</formula>
    </cfRule>
  </conditionalFormatting>
  <conditionalFormatting sqref="Y122">
    <cfRule type="expression" dxfId="2186" priority="3080">
      <formula>E121=TRUE</formula>
    </cfRule>
  </conditionalFormatting>
  <conditionalFormatting sqref="Y130:Y131">
    <cfRule type="expression" dxfId="2185" priority="2966">
      <formula>E133=TRUE</formula>
    </cfRule>
  </conditionalFormatting>
  <conditionalFormatting sqref="Y132">
    <cfRule type="expression" dxfId="2184" priority="3020">
      <formula>E133=TRUE</formula>
    </cfRule>
  </conditionalFormatting>
  <conditionalFormatting sqref="Y133">
    <cfRule type="expression" dxfId="2183" priority="3019">
      <formula>E133=TRUE</formula>
    </cfRule>
  </conditionalFormatting>
  <conditionalFormatting sqref="Y134">
    <cfRule type="expression" dxfId="2182" priority="3018">
      <formula>E133=TRUE</formula>
    </cfRule>
  </conditionalFormatting>
  <conditionalFormatting sqref="Y142:Y143">
    <cfRule type="expression" dxfId="2181" priority="2904">
      <formula>E145=TRUE</formula>
    </cfRule>
  </conditionalFormatting>
  <conditionalFormatting sqref="Y144">
    <cfRule type="expression" dxfId="2180" priority="2958">
      <formula>E145=TRUE</formula>
    </cfRule>
  </conditionalFormatting>
  <conditionalFormatting sqref="Y145">
    <cfRule type="expression" dxfId="2179" priority="2957">
      <formula>E145=TRUE</formula>
    </cfRule>
  </conditionalFormatting>
  <conditionalFormatting sqref="Y146">
    <cfRule type="expression" dxfId="2178" priority="2956">
      <formula>E145=TRUE</formula>
    </cfRule>
  </conditionalFormatting>
  <conditionalFormatting sqref="Y154:Y155">
    <cfRule type="expression" dxfId="2177" priority="2842">
      <formula>E157=TRUE</formula>
    </cfRule>
  </conditionalFormatting>
  <conditionalFormatting sqref="Y156">
    <cfRule type="expression" dxfId="2176" priority="2896">
      <formula>E157=TRUE</formula>
    </cfRule>
  </conditionalFormatting>
  <conditionalFormatting sqref="Y157">
    <cfRule type="expression" dxfId="2175" priority="2895">
      <formula>E157=TRUE</formula>
    </cfRule>
  </conditionalFormatting>
  <conditionalFormatting sqref="Y158">
    <cfRule type="expression" dxfId="2174" priority="2894">
      <formula>E157=TRUE</formula>
    </cfRule>
  </conditionalFormatting>
  <conditionalFormatting sqref="Y166:Y167">
    <cfRule type="expression" dxfId="2173" priority="2780">
      <formula>E169=TRUE</formula>
    </cfRule>
  </conditionalFormatting>
  <conditionalFormatting sqref="Y168">
    <cfRule type="expression" dxfId="2172" priority="2834">
      <formula>E169=TRUE</formula>
    </cfRule>
  </conditionalFormatting>
  <conditionalFormatting sqref="Y169">
    <cfRule type="expression" dxfId="2171" priority="2833">
      <formula>E169=TRUE</formula>
    </cfRule>
  </conditionalFormatting>
  <conditionalFormatting sqref="Y170">
    <cfRule type="expression" dxfId="2170" priority="2832">
      <formula>E169=TRUE</formula>
    </cfRule>
  </conditionalFormatting>
  <conditionalFormatting sqref="Y178:Y179">
    <cfRule type="expression" dxfId="2169" priority="2718">
      <formula>E181=TRUE</formula>
    </cfRule>
  </conditionalFormatting>
  <conditionalFormatting sqref="Y180">
    <cfRule type="expression" dxfId="2168" priority="2772">
      <formula>E181=TRUE</formula>
    </cfRule>
  </conditionalFormatting>
  <conditionalFormatting sqref="Y181">
    <cfRule type="expression" dxfId="2167" priority="2771">
      <formula>E181=TRUE</formula>
    </cfRule>
  </conditionalFormatting>
  <conditionalFormatting sqref="Y182">
    <cfRule type="expression" dxfId="2166" priority="2770">
      <formula>E181=TRUE</formula>
    </cfRule>
  </conditionalFormatting>
  <conditionalFormatting sqref="Y190:Y191">
    <cfRule type="expression" dxfId="2165" priority="2656">
      <formula>E193=TRUE</formula>
    </cfRule>
  </conditionalFormatting>
  <conditionalFormatting sqref="Y192">
    <cfRule type="expression" dxfId="2164" priority="2710">
      <formula>E193=TRUE</formula>
    </cfRule>
  </conditionalFormatting>
  <conditionalFormatting sqref="Y193">
    <cfRule type="expression" dxfId="2163" priority="2709">
      <formula>E193=TRUE</formula>
    </cfRule>
  </conditionalFormatting>
  <conditionalFormatting sqref="Y194">
    <cfRule type="expression" dxfId="2162" priority="2708">
      <formula>E193=TRUE</formula>
    </cfRule>
  </conditionalFormatting>
  <conditionalFormatting sqref="Y202:Y203">
    <cfRule type="expression" dxfId="2161" priority="2594">
      <formula>E205=TRUE</formula>
    </cfRule>
  </conditionalFormatting>
  <conditionalFormatting sqref="Y204">
    <cfRule type="expression" dxfId="2160" priority="2648">
      <formula>E205=TRUE</formula>
    </cfRule>
  </conditionalFormatting>
  <conditionalFormatting sqref="Y205">
    <cfRule type="expression" dxfId="2159" priority="2647">
      <formula>E205=TRUE</formula>
    </cfRule>
  </conditionalFormatting>
  <conditionalFormatting sqref="Y206">
    <cfRule type="expression" dxfId="2158" priority="2646">
      <formula>E205=TRUE</formula>
    </cfRule>
  </conditionalFormatting>
  <conditionalFormatting sqref="Y214:Y215">
    <cfRule type="expression" dxfId="2157" priority="2532">
      <formula>E217=TRUE</formula>
    </cfRule>
  </conditionalFormatting>
  <conditionalFormatting sqref="Y216">
    <cfRule type="expression" dxfId="2156" priority="2586">
      <formula>E217=TRUE</formula>
    </cfRule>
  </conditionalFormatting>
  <conditionalFormatting sqref="Y217">
    <cfRule type="expression" dxfId="2155" priority="2585">
      <formula>E217=TRUE</formula>
    </cfRule>
  </conditionalFormatting>
  <conditionalFormatting sqref="Y218">
    <cfRule type="expression" dxfId="2154" priority="2584">
      <formula>E217=TRUE</formula>
    </cfRule>
  </conditionalFormatting>
  <conditionalFormatting sqref="Y226:Y227">
    <cfRule type="expression" dxfId="2153" priority="2470">
      <formula>E229=TRUE</formula>
    </cfRule>
  </conditionalFormatting>
  <conditionalFormatting sqref="Y228">
    <cfRule type="expression" dxfId="2152" priority="2524">
      <formula>E229=TRUE</formula>
    </cfRule>
  </conditionalFormatting>
  <conditionalFormatting sqref="Y229">
    <cfRule type="expression" dxfId="2151" priority="2523">
      <formula>E229=TRUE</formula>
    </cfRule>
  </conditionalFormatting>
  <conditionalFormatting sqref="Y230">
    <cfRule type="expression" dxfId="2150" priority="2522">
      <formula>E229=TRUE</formula>
    </cfRule>
  </conditionalFormatting>
  <conditionalFormatting sqref="Y238:Y239">
    <cfRule type="expression" dxfId="2149" priority="2408">
      <formula>E241=TRUE</formula>
    </cfRule>
  </conditionalFormatting>
  <conditionalFormatting sqref="Y240">
    <cfRule type="expression" dxfId="2148" priority="2462">
      <formula>E241=TRUE</formula>
    </cfRule>
  </conditionalFormatting>
  <conditionalFormatting sqref="Y241">
    <cfRule type="expression" dxfId="2147" priority="2461">
      <formula>E241=TRUE</formula>
    </cfRule>
  </conditionalFormatting>
  <conditionalFormatting sqref="Y242">
    <cfRule type="expression" dxfId="2146" priority="2460">
      <formula>E241=TRUE</formula>
    </cfRule>
  </conditionalFormatting>
  <conditionalFormatting sqref="Z12">
    <cfRule type="expression" dxfId="2145" priority="1397">
      <formula>AND($X12=TRUE,$E13=TRUE)</formula>
    </cfRule>
  </conditionalFormatting>
  <conditionalFormatting sqref="Z13">
    <cfRule type="expression" dxfId="2144" priority="1396">
      <formula>AND($X13=TRUE,$E13=TRUE)</formula>
    </cfRule>
  </conditionalFormatting>
  <conditionalFormatting sqref="Z14:Z15">
    <cfRule type="expression" dxfId="2143" priority="1395">
      <formula>AND($X14=TRUE,$E13=TRUE)</formula>
    </cfRule>
  </conditionalFormatting>
  <conditionalFormatting sqref="Z24">
    <cfRule type="expression" dxfId="2142" priority="1391">
      <formula>AND($X24=TRUE,$E25=TRUE)</formula>
    </cfRule>
  </conditionalFormatting>
  <conditionalFormatting sqref="Z25">
    <cfRule type="expression" dxfId="2141" priority="1390">
      <formula>AND($X25=TRUE,$E25=TRUE)</formula>
    </cfRule>
  </conditionalFormatting>
  <conditionalFormatting sqref="Z26:Z27">
    <cfRule type="expression" dxfId="2140" priority="1389">
      <formula>AND($X26=TRUE,$E25=TRUE)</formula>
    </cfRule>
  </conditionalFormatting>
  <conditionalFormatting sqref="Z36">
    <cfRule type="expression" dxfId="2139" priority="1388">
      <formula>AND($X36=TRUE,$E37=TRUE)</formula>
    </cfRule>
  </conditionalFormatting>
  <conditionalFormatting sqref="Z37">
    <cfRule type="expression" dxfId="2138" priority="1387">
      <formula>AND($X37=TRUE,$E37=TRUE)</formula>
    </cfRule>
  </conditionalFormatting>
  <conditionalFormatting sqref="Z38:Z39">
    <cfRule type="expression" dxfId="2137" priority="1386">
      <formula>AND($X38=TRUE,$E37=TRUE)</formula>
    </cfRule>
  </conditionalFormatting>
  <conditionalFormatting sqref="Z48">
    <cfRule type="expression" dxfId="2136" priority="1385">
      <formula>AND($X48=TRUE,$E49=TRUE)</formula>
    </cfRule>
  </conditionalFormatting>
  <conditionalFormatting sqref="Z49">
    <cfRule type="expression" dxfId="2135" priority="1384">
      <formula>AND($X49=TRUE,$E49=TRUE)</formula>
    </cfRule>
  </conditionalFormatting>
  <conditionalFormatting sqref="Z50:Z51">
    <cfRule type="expression" dxfId="2134" priority="1383">
      <formula>AND($X50=TRUE,$E49=TRUE)</formula>
    </cfRule>
  </conditionalFormatting>
  <conditionalFormatting sqref="Z60">
    <cfRule type="expression" dxfId="2133" priority="1382">
      <formula>AND($X60=TRUE,$E61=TRUE)</formula>
    </cfRule>
  </conditionalFormatting>
  <conditionalFormatting sqref="Z61">
    <cfRule type="expression" dxfId="2132" priority="1381">
      <formula>AND($X61=TRUE,$E61=TRUE)</formula>
    </cfRule>
  </conditionalFormatting>
  <conditionalFormatting sqref="Z62:Z63">
    <cfRule type="expression" dxfId="2131" priority="1380">
      <formula>AND($X62=TRUE,$E61=TRUE)</formula>
    </cfRule>
  </conditionalFormatting>
  <conditionalFormatting sqref="Z72">
    <cfRule type="expression" dxfId="2130" priority="1379">
      <formula>AND($X72=TRUE,$E73=TRUE)</formula>
    </cfRule>
  </conditionalFormatting>
  <conditionalFormatting sqref="Z73">
    <cfRule type="expression" dxfId="2129" priority="1378">
      <formula>AND($X73=TRUE,$E73=TRUE)</formula>
    </cfRule>
  </conditionalFormatting>
  <conditionalFormatting sqref="Z74:Z75">
    <cfRule type="expression" dxfId="2128" priority="1377">
      <formula>AND($X74=TRUE,$E73=TRUE)</formula>
    </cfRule>
  </conditionalFormatting>
  <conditionalFormatting sqref="Z84">
    <cfRule type="expression" dxfId="2127" priority="1376">
      <formula>AND($X84=TRUE,$E85=TRUE)</formula>
    </cfRule>
  </conditionalFormatting>
  <conditionalFormatting sqref="Z85">
    <cfRule type="expression" dxfId="2126" priority="1375">
      <formula>AND($X85=TRUE,$E85=TRUE)</formula>
    </cfRule>
  </conditionalFormatting>
  <conditionalFormatting sqref="Z86:Z87">
    <cfRule type="expression" dxfId="2125" priority="1374">
      <formula>AND($X86=TRUE,$E85=TRUE)</formula>
    </cfRule>
  </conditionalFormatting>
  <conditionalFormatting sqref="Z96">
    <cfRule type="expression" dxfId="2124" priority="1373">
      <formula>AND($X96=TRUE,$E97=TRUE)</formula>
    </cfRule>
  </conditionalFormatting>
  <conditionalFormatting sqref="Z97">
    <cfRule type="expression" dxfId="2123" priority="1372">
      <formula>AND($X97=TRUE,$E97=TRUE)</formula>
    </cfRule>
  </conditionalFormatting>
  <conditionalFormatting sqref="Z98:Z99">
    <cfRule type="expression" dxfId="2122" priority="1371">
      <formula>AND($X98=TRUE,$E97=TRUE)</formula>
    </cfRule>
  </conditionalFormatting>
  <conditionalFormatting sqref="Z108">
    <cfRule type="expression" dxfId="2121" priority="1370">
      <formula>AND($X108=TRUE,$E109=TRUE)</formula>
    </cfRule>
  </conditionalFormatting>
  <conditionalFormatting sqref="Z109">
    <cfRule type="expression" dxfId="2120" priority="1369">
      <formula>AND($X109=TRUE,$E109=TRUE)</formula>
    </cfRule>
  </conditionalFormatting>
  <conditionalFormatting sqref="Z110:Z111">
    <cfRule type="expression" dxfId="2119" priority="1368">
      <formula>AND($X110=TRUE,$E109=TRUE)</formula>
    </cfRule>
  </conditionalFormatting>
  <conditionalFormatting sqref="Z120">
    <cfRule type="expression" dxfId="2118" priority="1367">
      <formula>AND($X120=TRUE,$E121=TRUE)</formula>
    </cfRule>
  </conditionalFormatting>
  <conditionalFormatting sqref="Z121">
    <cfRule type="expression" dxfId="2117" priority="1366">
      <formula>AND($X121=TRUE,$E121=TRUE)</formula>
    </cfRule>
  </conditionalFormatting>
  <conditionalFormatting sqref="Z122:Z123">
    <cfRule type="expression" dxfId="2116" priority="1365">
      <formula>AND($X122=TRUE,$E121=TRUE)</formula>
    </cfRule>
  </conditionalFormatting>
  <conditionalFormatting sqref="Z132">
    <cfRule type="expression" dxfId="2115" priority="1442">
      <formula>AND($X132=TRUE,$E133=TRUE)</formula>
    </cfRule>
  </conditionalFormatting>
  <conditionalFormatting sqref="Z133">
    <cfRule type="expression" dxfId="2114" priority="1413">
      <formula>AND($X133=TRUE,$E133=TRUE)</formula>
    </cfRule>
  </conditionalFormatting>
  <conditionalFormatting sqref="Z134:Z135">
    <cfRule type="expression" dxfId="2113" priority="1364">
      <formula>AND($X134=TRUE,$E133=TRUE)</formula>
    </cfRule>
  </conditionalFormatting>
  <conditionalFormatting sqref="Z144">
    <cfRule type="expression" dxfId="2112" priority="1361">
      <formula>AND($X144=TRUE,$E145=TRUE)</formula>
    </cfRule>
  </conditionalFormatting>
  <conditionalFormatting sqref="Z145">
    <cfRule type="expression" dxfId="2111" priority="1360">
      <formula>AND($X145=TRUE,$E145=TRUE)</formula>
    </cfRule>
  </conditionalFormatting>
  <conditionalFormatting sqref="Z146:Z147">
    <cfRule type="expression" dxfId="2110" priority="1359">
      <formula>AND($X146=TRUE,$E145=TRUE)</formula>
    </cfRule>
  </conditionalFormatting>
  <conditionalFormatting sqref="Z156">
    <cfRule type="expression" dxfId="2109" priority="1358">
      <formula>AND($X156=TRUE,$E157=TRUE)</formula>
    </cfRule>
  </conditionalFormatting>
  <conditionalFormatting sqref="Z157">
    <cfRule type="expression" dxfId="2108" priority="1357">
      <formula>AND($X157=TRUE,$E157=TRUE)</formula>
    </cfRule>
  </conditionalFormatting>
  <conditionalFormatting sqref="Z158:Z159">
    <cfRule type="expression" dxfId="2107" priority="1356">
      <formula>AND($X158=TRUE,$E157=TRUE)</formula>
    </cfRule>
  </conditionalFormatting>
  <conditionalFormatting sqref="Z168">
    <cfRule type="expression" dxfId="2106" priority="1355">
      <formula>AND($X168=TRUE,$E169=TRUE)</formula>
    </cfRule>
  </conditionalFormatting>
  <conditionalFormatting sqref="Z169">
    <cfRule type="expression" dxfId="2105" priority="1354">
      <formula>AND($X169=TRUE,$E169=TRUE)</formula>
    </cfRule>
  </conditionalFormatting>
  <conditionalFormatting sqref="Z170:Z171">
    <cfRule type="expression" dxfId="2104" priority="1353">
      <formula>AND($X170=TRUE,$E169=TRUE)</formula>
    </cfRule>
  </conditionalFormatting>
  <conditionalFormatting sqref="Z180">
    <cfRule type="expression" dxfId="2103" priority="1352">
      <formula>AND($X180=TRUE,$E181=TRUE)</formula>
    </cfRule>
  </conditionalFormatting>
  <conditionalFormatting sqref="Z181">
    <cfRule type="expression" dxfId="2102" priority="1351">
      <formula>AND($X181=TRUE,$E181=TRUE)</formula>
    </cfRule>
  </conditionalFormatting>
  <conditionalFormatting sqref="Z182:Z183">
    <cfRule type="expression" dxfId="2101" priority="1350">
      <formula>AND($X182=TRUE,$E181=TRUE)</formula>
    </cfRule>
  </conditionalFormatting>
  <conditionalFormatting sqref="Z192">
    <cfRule type="expression" dxfId="2100" priority="1349">
      <formula>AND($X192=TRUE,$E193=TRUE)</formula>
    </cfRule>
  </conditionalFormatting>
  <conditionalFormatting sqref="Z193">
    <cfRule type="expression" dxfId="2099" priority="1348">
      <formula>AND($X193=TRUE,$E193=TRUE)</formula>
    </cfRule>
  </conditionalFormatting>
  <conditionalFormatting sqref="Z194:Z195">
    <cfRule type="expression" dxfId="2098" priority="1347">
      <formula>AND($X194=TRUE,$E193=TRUE)</formula>
    </cfRule>
  </conditionalFormatting>
  <conditionalFormatting sqref="Z204">
    <cfRule type="expression" dxfId="2097" priority="1346">
      <formula>AND($X204=TRUE,$E205=TRUE)</formula>
    </cfRule>
  </conditionalFormatting>
  <conditionalFormatting sqref="Z205">
    <cfRule type="expression" dxfId="2096" priority="1345">
      <formula>AND($X205=TRUE,$E205=TRUE)</formula>
    </cfRule>
  </conditionalFormatting>
  <conditionalFormatting sqref="Z206:Z207">
    <cfRule type="expression" dxfId="2095" priority="1344">
      <formula>AND($X206=TRUE,$E205=TRUE)</formula>
    </cfRule>
  </conditionalFormatting>
  <conditionalFormatting sqref="Z216">
    <cfRule type="expression" dxfId="2094" priority="1343">
      <formula>AND($X216=TRUE,$E217=TRUE)</formula>
    </cfRule>
  </conditionalFormatting>
  <conditionalFormatting sqref="Z217">
    <cfRule type="expression" dxfId="2093" priority="1342">
      <formula>AND($X217=TRUE,$E217=TRUE)</formula>
    </cfRule>
  </conditionalFormatting>
  <conditionalFormatting sqref="Z218:Z219">
    <cfRule type="expression" dxfId="2092" priority="1341">
      <formula>AND($X218=TRUE,$E217=TRUE)</formula>
    </cfRule>
  </conditionalFormatting>
  <conditionalFormatting sqref="Z228">
    <cfRule type="expression" dxfId="2091" priority="1340">
      <formula>AND($X228=TRUE,$E229=TRUE)</formula>
    </cfRule>
  </conditionalFormatting>
  <conditionalFormatting sqref="Z229">
    <cfRule type="expression" dxfId="2090" priority="1339">
      <formula>AND($X229=TRUE,$E229=TRUE)</formula>
    </cfRule>
  </conditionalFormatting>
  <conditionalFormatting sqref="Z230:Z231">
    <cfRule type="expression" dxfId="2089" priority="1338">
      <formula>AND($X230=TRUE,$E229=TRUE)</formula>
    </cfRule>
  </conditionalFormatting>
  <conditionalFormatting sqref="Z240">
    <cfRule type="expression" dxfId="2088" priority="1337">
      <formula>AND($X240=TRUE,$E241=TRUE)</formula>
    </cfRule>
  </conditionalFormatting>
  <conditionalFormatting sqref="Z241">
    <cfRule type="expression" dxfId="2087" priority="1336">
      <formula>AND($X241=TRUE,$E241=TRUE)</formula>
    </cfRule>
  </conditionalFormatting>
  <conditionalFormatting sqref="Z242:Z243">
    <cfRule type="expression" dxfId="2086"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2085" priority="5424">
      <formula>AND(#REF!=TRUE,Q13=TRUE)</formula>
    </cfRule>
  </conditionalFormatting>
  <conditionalFormatting sqref="AD22 AD10">
    <cfRule type="expression" dxfId="2084" priority="7060">
      <formula>AB12=TRUE</formula>
    </cfRule>
  </conditionalFormatting>
  <conditionalFormatting sqref="AD23:AE24">
    <cfRule type="expression" dxfId="2083" priority="3607">
      <formula>AA24=TRUE</formula>
    </cfRule>
  </conditionalFormatting>
  <conditionalFormatting sqref="AE11:AE12">
    <cfRule type="expression" dxfId="2082" priority="77">
      <formula>AB12=TRUE</formula>
    </cfRule>
  </conditionalFormatting>
  <conditionalFormatting sqref="AE35:AE36">
    <cfRule type="expression" dxfId="2081" priority="113">
      <formula>AB36=TRUE</formula>
    </cfRule>
  </conditionalFormatting>
  <conditionalFormatting sqref="AE47:AE48">
    <cfRule type="expression" dxfId="2080" priority="111">
      <formula>AB48=TRUE</formula>
    </cfRule>
  </conditionalFormatting>
  <conditionalFormatting sqref="AE59:AE60">
    <cfRule type="expression" dxfId="2079" priority="109">
      <formula>AB60=TRUE</formula>
    </cfRule>
  </conditionalFormatting>
  <conditionalFormatting sqref="AE71:AE72">
    <cfRule type="expression" dxfId="2078" priority="107">
      <formula>AB72=TRUE</formula>
    </cfRule>
  </conditionalFormatting>
  <conditionalFormatting sqref="AE83:AE84">
    <cfRule type="expression" dxfId="2077" priority="104">
      <formula>AB84=TRUE</formula>
    </cfRule>
  </conditionalFormatting>
  <conditionalFormatting sqref="AE95:AE96">
    <cfRule type="expression" dxfId="2076" priority="103">
      <formula>AB96=TRUE</formula>
    </cfRule>
  </conditionalFormatting>
  <conditionalFormatting sqref="AE107:AE108">
    <cfRule type="expression" dxfId="2075" priority="101">
      <formula>AB108=TRUE</formula>
    </cfRule>
  </conditionalFormatting>
  <conditionalFormatting sqref="AE119:AE120">
    <cfRule type="expression" dxfId="2074" priority="99">
      <formula>AB120=TRUE</formula>
    </cfRule>
  </conditionalFormatting>
  <conditionalFormatting sqref="AE131:AE132">
    <cfRule type="expression" dxfId="2073" priority="115">
      <formula>AB132=TRUE</formula>
    </cfRule>
  </conditionalFormatting>
  <conditionalFormatting sqref="AE143:AE144">
    <cfRule type="expression" dxfId="2072" priority="96">
      <formula>AB144=TRUE</formula>
    </cfRule>
  </conditionalFormatting>
  <conditionalFormatting sqref="AE155:AE156">
    <cfRule type="expression" dxfId="2071" priority="95">
      <formula>AB156=TRUE</formula>
    </cfRule>
  </conditionalFormatting>
  <conditionalFormatting sqref="AE167:AE168">
    <cfRule type="expression" dxfId="2070" priority="93">
      <formula>AB168=TRUE</formula>
    </cfRule>
  </conditionalFormatting>
  <conditionalFormatting sqref="AE179:AE180">
    <cfRule type="expression" dxfId="2069" priority="91">
      <formula>AB180=TRUE</formula>
    </cfRule>
  </conditionalFormatting>
  <conditionalFormatting sqref="AE191:AE192">
    <cfRule type="expression" dxfId="2068" priority="89">
      <formula>AB192=TRUE</formula>
    </cfRule>
  </conditionalFormatting>
  <conditionalFormatting sqref="AE203:AE204">
    <cfRule type="expression" dxfId="2067" priority="87">
      <formula>AB204=TRUE</formula>
    </cfRule>
  </conditionalFormatting>
  <conditionalFormatting sqref="AE215:AE216">
    <cfRule type="expression" dxfId="2066" priority="85">
      <formula>AB216=TRUE</formula>
    </cfRule>
  </conditionalFormatting>
  <conditionalFormatting sqref="AE227:AE228">
    <cfRule type="expression" dxfId="2065" priority="83">
      <formula>AB228=TRUE</formula>
    </cfRule>
  </conditionalFormatting>
  <conditionalFormatting sqref="AE239:AE240">
    <cfRule type="expression" dxfId="2064" priority="81">
      <formula>AB240=TRUE</formula>
    </cfRule>
  </conditionalFormatting>
  <conditionalFormatting sqref="AE34:AF35">
    <cfRule type="expression" dxfId="2063" priority="112">
      <formula>AB36=TRUE</formula>
    </cfRule>
  </conditionalFormatting>
  <conditionalFormatting sqref="AE46:AF47">
    <cfRule type="expression" dxfId="2062" priority="110">
      <formula>AB48=TRUE</formula>
    </cfRule>
  </conditionalFormatting>
  <conditionalFormatting sqref="AE58:AF59">
    <cfRule type="expression" dxfId="2061" priority="108">
      <formula>AB60=TRUE</formula>
    </cfRule>
  </conditionalFormatting>
  <conditionalFormatting sqref="AE70:AF71">
    <cfRule type="expression" dxfId="2060" priority="106">
      <formula>AB72=TRUE</formula>
    </cfRule>
  </conditionalFormatting>
  <conditionalFormatting sqref="AE82:AF83">
    <cfRule type="expression" dxfId="2059" priority="78">
      <formula>AB84=TRUE</formula>
    </cfRule>
  </conditionalFormatting>
  <conditionalFormatting sqref="AE94:AF95">
    <cfRule type="expression" dxfId="2058" priority="102">
      <formula>AB96=TRUE</formula>
    </cfRule>
  </conditionalFormatting>
  <conditionalFormatting sqref="AE106:AF107">
    <cfRule type="expression" dxfId="2057" priority="100">
      <formula>AB108=TRUE</formula>
    </cfRule>
  </conditionalFormatting>
  <conditionalFormatting sqref="AE118:AF119">
    <cfRule type="expression" dxfId="2056" priority="98">
      <formula>AB120=TRUE</formula>
    </cfRule>
  </conditionalFormatting>
  <conditionalFormatting sqref="AE130:AF131">
    <cfRule type="expression" dxfId="2055" priority="114">
      <formula>AB132=TRUE</formula>
    </cfRule>
  </conditionalFormatting>
  <conditionalFormatting sqref="AE142:AF143">
    <cfRule type="expression" dxfId="2054" priority="79">
      <formula>AB144=TRUE</formula>
    </cfRule>
  </conditionalFormatting>
  <conditionalFormatting sqref="AE154:AF155">
    <cfRule type="expression" dxfId="2053" priority="94">
      <formula>AB156=TRUE</formula>
    </cfRule>
  </conditionalFormatting>
  <conditionalFormatting sqref="AE166:AF167">
    <cfRule type="expression" dxfId="2052" priority="92">
      <formula>AB168=TRUE</formula>
    </cfRule>
  </conditionalFormatting>
  <conditionalFormatting sqref="AE178:AF179">
    <cfRule type="expression" dxfId="2051" priority="90">
      <formula>AB180=TRUE</formula>
    </cfRule>
  </conditionalFormatting>
  <conditionalFormatting sqref="AE190:AF191">
    <cfRule type="expression" dxfId="2050" priority="88">
      <formula>AB192=TRUE</formula>
    </cfRule>
  </conditionalFormatting>
  <conditionalFormatting sqref="AE202:AF203">
    <cfRule type="expression" dxfId="2049" priority="86">
      <formula>AB204=TRUE</formula>
    </cfRule>
  </conditionalFormatting>
  <conditionalFormatting sqref="AE214:AF215">
    <cfRule type="expression" dxfId="2048" priority="84">
      <formula>AB216=TRUE</formula>
    </cfRule>
  </conditionalFormatting>
  <conditionalFormatting sqref="AE226:AF227">
    <cfRule type="expression" dxfId="2047" priority="82">
      <formula>AB228=TRUE</formula>
    </cfRule>
  </conditionalFormatting>
  <conditionalFormatting sqref="AE238:AF239">
    <cfRule type="expression" dxfId="2046" priority="80">
      <formula>AB240=TRUE</formula>
    </cfRule>
  </conditionalFormatting>
  <conditionalFormatting sqref="AF12">
    <cfRule type="expression" dxfId="2045" priority="3749">
      <formula>AC12=TRUE</formula>
    </cfRule>
  </conditionalFormatting>
  <conditionalFormatting sqref="AF22 AE23:AF23 AE11 AF10:AF11">
    <cfRule type="expression" dxfId="2044" priority="3168">
      <formula>AB12=TRUE</formula>
    </cfRule>
  </conditionalFormatting>
  <conditionalFormatting sqref="AF36">
    <cfRule type="expression" dxfId="2043" priority="3544">
      <formula>AC36=TRUE</formula>
    </cfRule>
  </conditionalFormatting>
  <conditionalFormatting sqref="AF48">
    <cfRule type="expression" dxfId="2042" priority="3482">
      <formula>AC48=TRUE</formula>
    </cfRule>
  </conditionalFormatting>
  <conditionalFormatting sqref="AF60">
    <cfRule type="expression" dxfId="2041" priority="3420">
      <formula>AC60=TRUE</formula>
    </cfRule>
  </conditionalFormatting>
  <conditionalFormatting sqref="AF72">
    <cfRule type="expression" dxfId="2040" priority="3358">
      <formula>AC72=TRUE</formula>
    </cfRule>
  </conditionalFormatting>
  <conditionalFormatting sqref="AF84">
    <cfRule type="expression" dxfId="2039" priority="3296">
      <formula>AC84=TRUE</formula>
    </cfRule>
  </conditionalFormatting>
  <conditionalFormatting sqref="AF96">
    <cfRule type="expression" dxfId="2038" priority="3234">
      <formula>AC96=TRUE</formula>
    </cfRule>
  </conditionalFormatting>
  <conditionalFormatting sqref="AF108">
    <cfRule type="expression" dxfId="2037" priority="3146">
      <formula>AC108=TRUE</formula>
    </cfRule>
  </conditionalFormatting>
  <conditionalFormatting sqref="AF120">
    <cfRule type="expression" dxfId="2036" priority="3084">
      <formula>AC120=TRUE</formula>
    </cfRule>
  </conditionalFormatting>
  <conditionalFormatting sqref="AF132">
    <cfRule type="expression" dxfId="2035" priority="3022">
      <formula>AC132=TRUE</formula>
    </cfRule>
  </conditionalFormatting>
  <conditionalFormatting sqref="AF144">
    <cfRule type="expression" dxfId="2034" priority="2960">
      <formula>AC144=TRUE</formula>
    </cfRule>
  </conditionalFormatting>
  <conditionalFormatting sqref="AF156">
    <cfRule type="expression" dxfId="2033" priority="2898">
      <formula>AC156=TRUE</formula>
    </cfRule>
  </conditionalFormatting>
  <conditionalFormatting sqref="AF168">
    <cfRule type="expression" dxfId="2032" priority="2836">
      <formula>AC168=TRUE</formula>
    </cfRule>
  </conditionalFormatting>
  <conditionalFormatting sqref="AF180">
    <cfRule type="expression" dxfId="2031" priority="2774">
      <formula>AC180=TRUE</formula>
    </cfRule>
  </conditionalFormatting>
  <conditionalFormatting sqref="AF192">
    <cfRule type="expression" dxfId="2030" priority="2712">
      <formula>AC192=TRUE</formula>
    </cfRule>
  </conditionalFormatting>
  <conditionalFormatting sqref="AF204">
    <cfRule type="expression" dxfId="2029" priority="2650">
      <formula>AC204=TRUE</formula>
    </cfRule>
  </conditionalFormatting>
  <conditionalFormatting sqref="AF216">
    <cfRule type="expression" dxfId="2028" priority="2588">
      <formula>AC216=TRUE</formula>
    </cfRule>
  </conditionalFormatting>
  <conditionalFormatting sqref="AF228">
    <cfRule type="expression" dxfId="2027" priority="2526">
      <formula>AC228=TRUE</formula>
    </cfRule>
  </conditionalFormatting>
  <conditionalFormatting sqref="AF240">
    <cfRule type="expression" dxfId="2026"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07" id="{EA8942A0-91F4-4AB6-8237-0A34C747BBDC}">
            <xm:f>$C10=INputs!$P$4</xm:f>
            <x14:dxf>
              <font>
                <color theme="2" tint="-0.24994659260841701"/>
              </font>
            </x14:dxf>
          </x14:cfRule>
          <x14:cfRule type="expression" priority="2126" id="{18BE2822-ED04-4D2C-867E-2A3BD55D5A25}">
            <xm:f>$C10=INputs!$P$3</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bottomRight" activeCell="Q55" sqref="Q55"/>
      <selection pane="bottomLeft" activeCell="A4" sqref="A4"/>
      <selection pane="topRight" activeCell="B1" sqref="B1"/>
    </sheetView>
  </sheetViews>
  <sheetFormatPr defaultRowHeight="14.45" outlineLevelRow="1"/>
  <cols>
    <col min="1" max="1" width="3.28515625" style="79"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c r="B1" s="640" t="s">
        <v>97</v>
      </c>
      <c r="C1" s="640"/>
      <c r="D1" s="640"/>
    </row>
    <row r="2" spans="1:26" s="12" customFormat="1" ht="37.5" thickBot="1">
      <c r="A2" s="82"/>
      <c r="B2" s="89" t="s">
        <v>164</v>
      </c>
      <c r="C2" s="36"/>
      <c r="D2" s="624" t="s">
        <v>230</v>
      </c>
      <c r="E2" s="656"/>
      <c r="F2" s="656"/>
      <c r="G2" s="625"/>
      <c r="H2" s="36"/>
      <c r="I2" s="89" t="s">
        <v>231</v>
      </c>
      <c r="J2" s="36"/>
      <c r="K2" s="89" t="s">
        <v>232</v>
      </c>
      <c r="L2" s="36"/>
      <c r="M2" s="89" t="s">
        <v>233</v>
      </c>
      <c r="N2" s="36"/>
      <c r="O2" s="89" t="s">
        <v>234</v>
      </c>
      <c r="P2" s="36"/>
      <c r="Q2" s="624" t="s">
        <v>235</v>
      </c>
      <c r="R2" s="656"/>
      <c r="S2" s="625"/>
      <c r="T2" s="36"/>
      <c r="U2" s="89" t="s">
        <v>236</v>
      </c>
      <c r="V2" s="36"/>
      <c r="W2" s="89" t="s">
        <v>237</v>
      </c>
      <c r="X2" s="36"/>
      <c r="Y2" s="89" t="s">
        <v>238</v>
      </c>
      <c r="Z2" s="474"/>
    </row>
    <row r="3" spans="1:26" ht="230.1" hidden="1" customHeight="1" outlineLevel="1">
      <c r="A3" s="316" t="s">
        <v>125</v>
      </c>
      <c r="B3" s="137" t="s">
        <v>174</v>
      </c>
      <c r="C3" s="135"/>
      <c r="D3" s="655" t="s">
        <v>239</v>
      </c>
      <c r="E3" s="655"/>
      <c r="F3" s="655"/>
      <c r="G3" s="655"/>
      <c r="H3" s="135"/>
      <c r="I3" s="501"/>
      <c r="J3" s="135"/>
      <c r="K3" s="138" t="s">
        <v>240</v>
      </c>
      <c r="L3" s="136"/>
      <c r="M3" s="139" t="s">
        <v>241</v>
      </c>
      <c r="N3" s="136"/>
      <c r="O3" s="139" t="s">
        <v>242</v>
      </c>
      <c r="P3" s="136"/>
      <c r="Q3" s="659" t="s">
        <v>243</v>
      </c>
      <c r="R3" s="660"/>
      <c r="S3" s="661"/>
      <c r="T3" s="151"/>
      <c r="U3" s="150" t="s">
        <v>244</v>
      </c>
      <c r="V3" s="136"/>
      <c r="W3" s="494"/>
      <c r="X3" s="136"/>
      <c r="Y3" s="494" t="s">
        <v>245</v>
      </c>
      <c r="Z3" s="129"/>
    </row>
    <row r="4" spans="1:26" ht="29.1" hidden="1" outlineLevel="1">
      <c r="A4" s="658" t="s">
        <v>133</v>
      </c>
      <c r="B4" s="476" t="s">
        <v>246</v>
      </c>
      <c r="C4" s="140"/>
      <c r="D4" s="602" t="s">
        <v>247</v>
      </c>
      <c r="E4" s="602"/>
      <c r="F4" s="602"/>
      <c r="G4" s="602"/>
      <c r="H4" s="140"/>
      <c r="I4" s="495"/>
      <c r="J4" s="140"/>
      <c r="K4" s="495"/>
      <c r="L4" s="517"/>
      <c r="M4" s="484"/>
      <c r="N4" s="517"/>
      <c r="O4" s="484"/>
      <c r="P4" s="517"/>
      <c r="Q4" s="612"/>
      <c r="R4" s="612"/>
      <c r="S4" s="612"/>
      <c r="T4" s="517"/>
      <c r="U4" s="484"/>
      <c r="V4" s="517"/>
      <c r="W4" s="484"/>
      <c r="X4" s="517"/>
      <c r="Y4" s="483" t="s">
        <v>248</v>
      </c>
    </row>
    <row r="5" spans="1:26" ht="15" hidden="1" customHeight="1" outlineLevel="1">
      <c r="A5" s="658"/>
      <c r="B5" s="477"/>
      <c r="C5" s="140"/>
      <c r="D5" s="603"/>
      <c r="E5" s="603"/>
      <c r="F5" s="603"/>
      <c r="G5" s="603"/>
      <c r="H5" s="140"/>
      <c r="I5" s="495"/>
      <c r="J5" s="140"/>
      <c r="K5" s="495"/>
      <c r="L5" s="517"/>
      <c r="M5" s="484"/>
      <c r="N5" s="517"/>
      <c r="O5" s="484"/>
      <c r="P5" s="517"/>
      <c r="Q5" s="612"/>
      <c r="R5" s="612"/>
      <c r="S5" s="612"/>
      <c r="T5" s="517"/>
      <c r="U5" s="484"/>
      <c r="V5" s="517"/>
      <c r="W5" s="484"/>
      <c r="X5" s="517"/>
      <c r="Y5" s="484"/>
    </row>
    <row r="6" spans="1:26" ht="15" hidden="1" customHeight="1" outlineLevel="1">
      <c r="A6" s="658"/>
      <c r="B6" s="477"/>
      <c r="C6" s="140"/>
      <c r="D6" s="603"/>
      <c r="E6" s="603"/>
      <c r="F6" s="603"/>
      <c r="G6" s="603"/>
      <c r="H6" s="140"/>
      <c r="I6" s="495"/>
      <c r="J6" s="140"/>
      <c r="K6" s="495"/>
      <c r="L6" s="517"/>
      <c r="M6" s="484"/>
      <c r="N6" s="517"/>
      <c r="O6" s="484"/>
      <c r="P6" s="517"/>
      <c r="Q6" s="612"/>
      <c r="R6" s="612"/>
      <c r="S6" s="612"/>
      <c r="T6" s="517"/>
      <c r="U6" s="484"/>
      <c r="V6" s="517"/>
      <c r="W6" s="484"/>
      <c r="X6" s="517"/>
      <c r="Y6" s="484"/>
    </row>
    <row r="7" spans="1:26" ht="15" hidden="1" customHeight="1" outlineLevel="1">
      <c r="A7" s="658"/>
      <c r="B7" s="477"/>
      <c r="C7" s="140"/>
      <c r="D7" s="603"/>
      <c r="E7" s="603"/>
      <c r="F7" s="603"/>
      <c r="G7" s="603"/>
      <c r="H7" s="140"/>
      <c r="I7" s="495"/>
      <c r="J7" s="140"/>
      <c r="K7" s="495"/>
      <c r="L7" s="517"/>
      <c r="M7" s="484"/>
      <c r="N7" s="517"/>
      <c r="O7" s="484"/>
      <c r="P7" s="517"/>
      <c r="Q7" s="612"/>
      <c r="R7" s="612"/>
      <c r="S7" s="612"/>
      <c r="T7" s="517"/>
      <c r="U7" s="484"/>
      <c r="V7" s="517"/>
      <c r="W7" s="484"/>
      <c r="X7" s="517"/>
      <c r="Y7" s="484"/>
    </row>
    <row r="8" spans="1:26" ht="15" hidden="1" customHeight="1" outlineLevel="1">
      <c r="A8" s="658"/>
      <c r="B8" s="477"/>
      <c r="C8" s="140"/>
      <c r="D8" s="603"/>
      <c r="E8" s="603"/>
      <c r="F8" s="603"/>
      <c r="G8" s="603"/>
      <c r="H8" s="140"/>
      <c r="I8" s="495"/>
      <c r="J8" s="140"/>
      <c r="K8" s="495"/>
      <c r="L8" s="517"/>
      <c r="M8" s="484"/>
      <c r="N8" s="517"/>
      <c r="O8" s="484"/>
      <c r="P8" s="517"/>
      <c r="Q8" s="612"/>
      <c r="R8" s="612"/>
      <c r="S8" s="612"/>
      <c r="T8" s="517"/>
      <c r="U8" s="484"/>
      <c r="V8" s="517"/>
      <c r="W8" s="484"/>
      <c r="X8" s="517"/>
      <c r="Y8" s="484"/>
    </row>
    <row r="9" spans="1:26" s="12" customFormat="1" ht="15" customHeight="1" collapsed="1">
      <c r="A9" s="82"/>
      <c r="B9" s="502"/>
      <c r="C9" s="474"/>
      <c r="D9" s="502" t="s">
        <v>142</v>
      </c>
      <c r="E9" s="502"/>
      <c r="F9" s="657" t="s">
        <v>141</v>
      </c>
      <c r="G9" s="657"/>
      <c r="H9" s="474"/>
      <c r="I9" s="502" t="s">
        <v>142</v>
      </c>
      <c r="J9" s="474"/>
      <c r="K9" s="502" t="s">
        <v>142</v>
      </c>
      <c r="L9" s="474"/>
      <c r="M9" s="502" t="s">
        <v>142</v>
      </c>
      <c r="N9" s="474"/>
      <c r="O9" s="502" t="s">
        <v>142</v>
      </c>
      <c r="P9" s="474"/>
      <c r="Q9" s="502" t="s">
        <v>142</v>
      </c>
      <c r="R9" s="502"/>
      <c r="S9" s="502" t="s">
        <v>142</v>
      </c>
      <c r="T9" s="474"/>
      <c r="U9" s="502" t="s">
        <v>142</v>
      </c>
      <c r="V9" s="474"/>
      <c r="W9" s="502" t="s">
        <v>142</v>
      </c>
      <c r="X9" s="474"/>
      <c r="Y9" s="502" t="s">
        <v>142</v>
      </c>
      <c r="Z9" s="474"/>
    </row>
    <row r="10" spans="1:26" ht="6" customHeight="1" thickBot="1">
      <c r="A10" s="80"/>
      <c r="B10" s="30"/>
      <c r="C10" s="27"/>
      <c r="D10" s="27"/>
      <c r="E10" s="27"/>
      <c r="F10" s="27"/>
      <c r="G10" s="27"/>
      <c r="H10" s="27"/>
      <c r="I10" s="27"/>
      <c r="J10" s="27"/>
      <c r="K10" s="27"/>
      <c r="L10" s="27"/>
      <c r="M10" s="27"/>
      <c r="N10" s="27"/>
      <c r="O10" s="27"/>
      <c r="P10" s="27"/>
      <c r="Q10" s="27"/>
      <c r="R10" s="27"/>
      <c r="S10" s="27"/>
      <c r="T10" s="27"/>
      <c r="U10" s="27"/>
      <c r="V10" s="27"/>
      <c r="W10" s="27"/>
      <c r="X10" s="27"/>
      <c r="Y10" s="27"/>
    </row>
    <row r="11" spans="1:26" ht="15" thickBot="1">
      <c r="A11" s="92">
        <v>1</v>
      </c>
      <c r="B11" s="328" t="str">
        <f>VLOOKUP(A11,INputs!$G$3:$O$22,8,FALSE)</f>
        <v>Label-Public - Pending checkbox selection on Sensitivity Labels Tab</v>
      </c>
      <c r="C11" s="152"/>
      <c r="D11" s="9"/>
      <c r="E11" s="152"/>
      <c r="F11" s="153" t="b">
        <v>0</v>
      </c>
      <c r="G11" s="152" t="s">
        <v>249</v>
      </c>
      <c r="H11" s="152"/>
      <c r="I11" s="9"/>
      <c r="J11" s="152"/>
      <c r="K11" s="9"/>
      <c r="L11" s="152"/>
      <c r="M11" s="9"/>
      <c r="N11" s="152"/>
      <c r="O11" s="9"/>
      <c r="P11" s="152"/>
      <c r="Q11" s="9"/>
      <c r="R11" s="152"/>
      <c r="S11" s="9"/>
      <c r="T11" s="152"/>
      <c r="U11" s="9"/>
      <c r="V11" s="152"/>
      <c r="W11" s="9"/>
      <c r="X11" s="152"/>
      <c r="Y11" s="9"/>
    </row>
    <row r="12" spans="1:26" ht="6" customHeight="1" thickBot="1">
      <c r="A12" s="80"/>
      <c r="B12" s="30"/>
      <c r="C12" s="27"/>
      <c r="D12" s="27"/>
      <c r="E12" s="27"/>
      <c r="F12" s="27"/>
      <c r="G12" s="27"/>
      <c r="H12" s="27"/>
      <c r="I12" s="27"/>
      <c r="J12" s="27"/>
      <c r="K12" s="27"/>
      <c r="L12" s="27"/>
      <c r="M12" s="27"/>
      <c r="N12" s="27"/>
      <c r="O12" s="27"/>
      <c r="P12" s="27"/>
      <c r="Q12" s="27"/>
      <c r="R12" s="27"/>
      <c r="S12" s="27"/>
      <c r="T12" s="27"/>
      <c r="U12" s="27"/>
      <c r="V12" s="27"/>
      <c r="W12" s="27"/>
      <c r="X12" s="27"/>
      <c r="Y12" s="27"/>
    </row>
    <row r="13" spans="1:26" ht="15" customHeight="1" thickBot="1">
      <c r="A13" s="92">
        <v>2</v>
      </c>
      <c r="B13" s="328" t="str">
        <f>VLOOKUP(A13,INputs!$G$3:$O$22,8,FALSE)</f>
        <v>Label-General</v>
      </c>
      <c r="C13" s="152"/>
      <c r="D13" s="9"/>
      <c r="E13" s="152"/>
      <c r="F13" s="153" t="b">
        <v>0</v>
      </c>
      <c r="G13" s="152" t="s">
        <v>249</v>
      </c>
      <c r="H13" s="152"/>
      <c r="I13" s="9"/>
      <c r="J13" s="152"/>
      <c r="K13" s="9"/>
      <c r="L13" s="152"/>
      <c r="M13" s="9"/>
      <c r="N13" s="152"/>
      <c r="O13" s="9"/>
      <c r="P13" s="152"/>
      <c r="Q13" s="9"/>
      <c r="R13" s="152"/>
      <c r="S13" s="9"/>
      <c r="T13" s="152"/>
      <c r="U13" s="9"/>
      <c r="V13" s="152"/>
      <c r="W13" s="9"/>
      <c r="X13" s="152"/>
      <c r="Y13" s="9"/>
    </row>
    <row r="14" spans="1:26" ht="6" customHeight="1" thickBot="1">
      <c r="A14" s="80"/>
      <c r="B14" s="30"/>
      <c r="C14" s="27"/>
      <c r="D14" s="27"/>
      <c r="E14" s="27"/>
      <c r="F14" s="27"/>
      <c r="G14" s="27"/>
      <c r="H14" s="27"/>
      <c r="I14" s="27"/>
      <c r="J14" s="27"/>
      <c r="K14" s="27"/>
      <c r="L14" s="27"/>
      <c r="M14" s="27"/>
      <c r="N14" s="27"/>
      <c r="O14" s="27"/>
      <c r="P14" s="27"/>
      <c r="Q14" s="27"/>
      <c r="R14" s="27"/>
      <c r="S14" s="27"/>
      <c r="T14" s="27"/>
      <c r="U14" s="27"/>
      <c r="V14" s="27"/>
      <c r="W14" s="27"/>
      <c r="X14" s="27"/>
      <c r="Y14" s="27"/>
    </row>
    <row r="15" spans="1:26" ht="15" customHeight="1" thickBot="1">
      <c r="A15" s="92">
        <v>3</v>
      </c>
      <c r="B15" s="328" t="str">
        <f>VLOOKUP(A15,INputs!$G$3:$O$22,8,FALSE)</f>
        <v>Parent Label-Confidential</v>
      </c>
      <c r="C15" s="152"/>
      <c r="D15" s="9"/>
      <c r="E15" s="152"/>
      <c r="F15" s="153" t="b">
        <v>0</v>
      </c>
      <c r="G15" s="152" t="s">
        <v>249</v>
      </c>
      <c r="H15" s="152"/>
      <c r="I15" s="9"/>
      <c r="J15" s="152"/>
      <c r="K15" s="9"/>
      <c r="L15" s="152"/>
      <c r="M15" s="9"/>
      <c r="N15" s="152"/>
      <c r="O15" s="9"/>
      <c r="P15" s="152"/>
      <c r="Q15" s="9"/>
      <c r="R15" s="152"/>
      <c r="S15" s="9"/>
      <c r="T15" s="152"/>
      <c r="U15" s="9"/>
      <c r="V15" s="152"/>
      <c r="W15" s="9"/>
      <c r="X15" s="152"/>
      <c r="Y15" s="9"/>
    </row>
    <row r="16" spans="1:26" ht="6" customHeight="1" thickBot="1">
      <c r="A16" s="80"/>
      <c r="B16" s="30"/>
      <c r="C16" s="27"/>
      <c r="D16" s="27"/>
      <c r="E16" s="27"/>
      <c r="F16" s="27"/>
      <c r="G16" s="27"/>
      <c r="H16" s="27"/>
      <c r="I16" s="27"/>
      <c r="J16" s="27"/>
      <c r="K16" s="27"/>
      <c r="L16" s="27"/>
      <c r="M16" s="27"/>
      <c r="N16" s="27"/>
      <c r="O16" s="27"/>
      <c r="P16" s="27"/>
      <c r="Q16" s="27"/>
      <c r="R16" s="27"/>
      <c r="S16" s="27"/>
      <c r="T16" s="27"/>
      <c r="U16" s="27"/>
      <c r="V16" s="27"/>
      <c r="W16" s="27"/>
      <c r="X16" s="27"/>
      <c r="Y16" s="27"/>
    </row>
    <row r="17" spans="1:25" ht="15" customHeight="1" thickBot="1">
      <c r="A17" s="92">
        <v>4</v>
      </c>
      <c r="B17" s="328" t="str">
        <f>VLOOKUP(A17,INputs!$G$3:$O$22,8,FALSE)</f>
        <v>Sub Label-All Employees</v>
      </c>
      <c r="C17" s="152"/>
      <c r="D17" s="9" t="s">
        <v>59</v>
      </c>
      <c r="E17" s="152"/>
      <c r="F17" s="153" t="b">
        <v>0</v>
      </c>
      <c r="G17" s="152" t="s">
        <v>249</v>
      </c>
      <c r="H17" s="152"/>
      <c r="I17" s="9"/>
      <c r="J17" s="152"/>
      <c r="K17" s="9" t="s">
        <v>16</v>
      </c>
      <c r="L17" s="152"/>
      <c r="M17" s="9"/>
      <c r="N17" s="152"/>
      <c r="O17" s="9"/>
      <c r="P17" s="152"/>
      <c r="Q17" s="9"/>
      <c r="R17" s="152"/>
      <c r="S17" s="9"/>
      <c r="T17" s="152"/>
      <c r="U17" s="9"/>
      <c r="V17" s="152"/>
      <c r="W17" s="9"/>
      <c r="X17" s="152"/>
      <c r="Y17" s="9"/>
    </row>
    <row r="18" spans="1:25" ht="6" customHeight="1" thickBot="1">
      <c r="A18" s="80"/>
      <c r="B18" s="30"/>
      <c r="C18" s="27"/>
      <c r="D18" s="27"/>
      <c r="E18" s="27"/>
      <c r="F18" s="27"/>
      <c r="G18" s="27"/>
      <c r="H18" s="27"/>
      <c r="I18" s="27"/>
      <c r="J18" s="27"/>
      <c r="K18" s="27"/>
      <c r="L18" s="27"/>
      <c r="M18" s="27"/>
      <c r="N18" s="27"/>
      <c r="O18" s="27"/>
      <c r="P18" s="27"/>
      <c r="Q18" s="27"/>
      <c r="R18" s="27"/>
      <c r="S18" s="27"/>
      <c r="T18" s="27"/>
      <c r="U18" s="27"/>
      <c r="V18" s="27"/>
      <c r="W18" s="27"/>
      <c r="X18" s="27"/>
      <c r="Y18" s="27"/>
    </row>
    <row r="19" spans="1:25" ht="15" thickBot="1">
      <c r="A19" s="92">
        <v>5</v>
      </c>
      <c r="B19" s="328" t="str">
        <f>VLOOKUP(A19,INputs!$G$3:$O$22,8,FALSE)</f>
        <v>Sub Label-Specific People</v>
      </c>
      <c r="C19" s="152"/>
      <c r="D19" s="9" t="s">
        <v>34</v>
      </c>
      <c r="E19" s="152"/>
      <c r="F19" s="153" t="b">
        <v>0</v>
      </c>
      <c r="G19" s="152" t="s">
        <v>249</v>
      </c>
      <c r="H19" s="152"/>
      <c r="I19" s="9"/>
      <c r="J19" s="152"/>
      <c r="K19" s="9" t="s">
        <v>16</v>
      </c>
      <c r="L19" s="152"/>
      <c r="M19" s="9"/>
      <c r="N19" s="152"/>
      <c r="O19" s="9"/>
      <c r="P19" s="152"/>
      <c r="Q19" s="9"/>
      <c r="R19" s="152"/>
      <c r="S19" s="9"/>
      <c r="T19" s="152"/>
      <c r="U19" s="9"/>
      <c r="V19" s="152"/>
      <c r="W19" s="9"/>
      <c r="X19" s="152"/>
      <c r="Y19" s="9"/>
    </row>
    <row r="20" spans="1:25" ht="6" customHeight="1" thickBot="1">
      <c r="A20" s="80"/>
      <c r="B20" s="30"/>
      <c r="C20" s="27"/>
      <c r="D20" s="27"/>
      <c r="E20" s="27"/>
      <c r="F20" s="27"/>
      <c r="G20" s="27"/>
      <c r="H20" s="27"/>
      <c r="I20" s="27"/>
      <c r="J20" s="27"/>
      <c r="K20" s="27"/>
      <c r="L20" s="27"/>
      <c r="M20" s="27"/>
      <c r="N20" s="27"/>
      <c r="O20" s="27"/>
      <c r="P20" s="27"/>
      <c r="Q20" s="27"/>
      <c r="R20" s="27"/>
      <c r="S20" s="27"/>
      <c r="T20" s="27"/>
      <c r="U20" s="27"/>
      <c r="V20" s="27"/>
      <c r="W20" s="27"/>
      <c r="X20" s="27"/>
      <c r="Y20" s="27"/>
    </row>
    <row r="21" spans="1:25" ht="15" thickBot="1">
      <c r="A21" s="92">
        <v>6</v>
      </c>
      <c r="B21" s="328" t="str">
        <f>VLOOKUP(A21,INputs!$G$3:$O$22,8,FALSE)</f>
        <v>Sub Label-Internal exception</v>
      </c>
      <c r="C21" s="152"/>
      <c r="D21" s="9"/>
      <c r="E21" s="152"/>
      <c r="F21" s="153" t="b">
        <v>0</v>
      </c>
      <c r="G21" s="152" t="s">
        <v>249</v>
      </c>
      <c r="H21" s="152"/>
      <c r="I21" s="9"/>
      <c r="J21" s="152"/>
      <c r="K21" s="9"/>
      <c r="L21" s="152"/>
      <c r="M21" s="9"/>
      <c r="N21" s="152"/>
      <c r="O21" s="9"/>
      <c r="P21" s="152"/>
      <c r="Q21" s="9"/>
      <c r="R21" s="152"/>
      <c r="S21" s="9"/>
      <c r="T21" s="152"/>
      <c r="U21" s="9"/>
      <c r="V21" s="152"/>
      <c r="W21" s="9"/>
      <c r="X21" s="152"/>
      <c r="Y21" s="9"/>
    </row>
    <row r="22" spans="1:25" ht="6" customHeight="1" thickBot="1">
      <c r="A22" s="80"/>
      <c r="B22" s="30"/>
      <c r="C22" s="27"/>
      <c r="D22" s="27"/>
      <c r="E22" s="27"/>
      <c r="F22" s="27"/>
      <c r="G22" s="27"/>
      <c r="H22" s="27"/>
      <c r="I22" s="27"/>
      <c r="J22" s="27"/>
      <c r="K22" s="27"/>
      <c r="L22" s="27"/>
      <c r="M22" s="27"/>
      <c r="N22" s="27"/>
      <c r="O22" s="27"/>
      <c r="P22" s="27"/>
      <c r="Q22" s="27"/>
      <c r="R22" s="27"/>
      <c r="S22" s="27"/>
      <c r="T22" s="27"/>
      <c r="U22" s="27"/>
      <c r="V22" s="27"/>
      <c r="W22" s="27"/>
      <c r="X22" s="27"/>
      <c r="Y22" s="27"/>
    </row>
    <row r="23" spans="1:25" ht="15" thickBot="1">
      <c r="A23" s="92">
        <v>7</v>
      </c>
      <c r="B23" s="328" t="str">
        <f>VLOOKUP(A23,INputs!$G$3:$O$22,8,FALSE)</f>
        <v>Parent Label-Highly Confidential</v>
      </c>
      <c r="C23" s="152"/>
      <c r="D23" s="9"/>
      <c r="E23" s="152"/>
      <c r="F23" s="153" t="b">
        <v>0</v>
      </c>
      <c r="G23" s="152" t="s">
        <v>249</v>
      </c>
      <c r="H23" s="152"/>
      <c r="I23" s="9"/>
      <c r="J23" s="152"/>
      <c r="K23" s="9"/>
      <c r="L23" s="152"/>
      <c r="M23" s="9"/>
      <c r="N23" s="152"/>
      <c r="O23" s="9"/>
      <c r="P23" s="152"/>
      <c r="Q23" s="9"/>
      <c r="R23" s="152"/>
      <c r="S23" s="9"/>
      <c r="T23" s="152"/>
      <c r="U23" s="9"/>
      <c r="V23" s="152"/>
      <c r="W23" s="9"/>
      <c r="X23" s="152"/>
      <c r="Y23" s="9"/>
    </row>
    <row r="24" spans="1:25" ht="6" customHeight="1" thickBot="1">
      <c r="A24" s="80"/>
      <c r="B24" s="30"/>
      <c r="C24" s="27"/>
      <c r="D24" s="27"/>
      <c r="E24" s="27"/>
      <c r="F24" s="27"/>
      <c r="G24" s="27"/>
      <c r="H24" s="27"/>
      <c r="I24" s="27"/>
      <c r="J24" s="27"/>
      <c r="K24" s="27"/>
      <c r="L24" s="27"/>
      <c r="M24" s="27"/>
      <c r="N24" s="27"/>
      <c r="O24" s="27"/>
      <c r="P24" s="27"/>
      <c r="Q24" s="27"/>
      <c r="R24" s="27"/>
      <c r="S24" s="27"/>
      <c r="T24" s="27"/>
      <c r="U24" s="27"/>
      <c r="V24" s="27"/>
      <c r="W24" s="27"/>
      <c r="X24" s="27"/>
      <c r="Y24" s="27"/>
    </row>
    <row r="25" spans="1:25" ht="15" thickBot="1">
      <c r="A25" s="92">
        <v>8</v>
      </c>
      <c r="B25" s="328" t="str">
        <f>VLOOKUP(A25,INputs!$G$3:$O$22,8,FALSE)</f>
        <v>Sub Label-All Employees</v>
      </c>
      <c r="C25" s="152"/>
      <c r="D25" s="9" t="s">
        <v>62</v>
      </c>
      <c r="E25" s="152"/>
      <c r="F25" s="153" t="b">
        <v>0</v>
      </c>
      <c r="G25" s="152" t="s">
        <v>249</v>
      </c>
      <c r="H25" s="152"/>
      <c r="I25" s="9"/>
      <c r="J25" s="152"/>
      <c r="K25" s="9" t="s">
        <v>16</v>
      </c>
      <c r="L25" s="152"/>
      <c r="M25" s="9"/>
      <c r="N25" s="152"/>
      <c r="O25" s="9"/>
      <c r="P25" s="152"/>
      <c r="Q25" s="9" t="s">
        <v>19</v>
      </c>
      <c r="R25" s="152"/>
      <c r="S25" s="9" t="s">
        <v>63</v>
      </c>
      <c r="T25" s="152"/>
      <c r="U25" s="9" t="s">
        <v>21</v>
      </c>
      <c r="V25" s="152"/>
      <c r="W25" s="9"/>
      <c r="X25" s="152"/>
      <c r="Y25" s="9" t="s">
        <v>21</v>
      </c>
    </row>
    <row r="26" spans="1:25" ht="6" customHeight="1" thickBot="1">
      <c r="B26" s="30"/>
      <c r="C26" s="27"/>
      <c r="D26" s="27"/>
      <c r="E26" s="27"/>
      <c r="F26" s="27"/>
      <c r="G26" s="27"/>
      <c r="H26" s="27"/>
      <c r="I26" s="27"/>
      <c r="J26" s="27"/>
      <c r="K26" s="27"/>
      <c r="L26" s="27"/>
      <c r="M26" s="27"/>
      <c r="N26" s="27"/>
      <c r="O26" s="27"/>
      <c r="P26" s="27"/>
      <c r="Q26" s="27"/>
      <c r="R26" s="27"/>
      <c r="S26" s="27"/>
      <c r="T26" s="27"/>
      <c r="U26" s="27"/>
      <c r="V26" s="27"/>
      <c r="W26" s="27"/>
      <c r="X26" s="27"/>
      <c r="Y26" s="27"/>
    </row>
    <row r="27" spans="1:25" ht="15" thickBot="1">
      <c r="A27" s="92">
        <v>9</v>
      </c>
      <c r="B27" s="328" t="str">
        <f>VLOOKUP(A27,INputs!$G$3:$O$22,8,FALSE)</f>
        <v>Sub Label-Specific People</v>
      </c>
      <c r="C27" s="152"/>
      <c r="D27" s="9" t="s">
        <v>62</v>
      </c>
      <c r="E27" s="152"/>
      <c r="F27" s="153" t="b">
        <v>0</v>
      </c>
      <c r="G27" s="152" t="s">
        <v>249</v>
      </c>
      <c r="H27" s="152"/>
      <c r="I27" s="9"/>
      <c r="J27" s="152"/>
      <c r="K27" s="9" t="s">
        <v>35</v>
      </c>
      <c r="L27" s="152"/>
      <c r="M27" s="9"/>
      <c r="N27" s="152"/>
      <c r="O27" s="9"/>
      <c r="P27" s="152"/>
      <c r="Q27" s="9" t="s">
        <v>19</v>
      </c>
      <c r="R27" s="152"/>
      <c r="S27" s="9" t="s">
        <v>63</v>
      </c>
      <c r="T27" s="152"/>
      <c r="U27" s="9" t="s">
        <v>21</v>
      </c>
      <c r="V27" s="152"/>
      <c r="W27" s="9"/>
      <c r="X27" s="152"/>
      <c r="Y27" s="9" t="s">
        <v>21</v>
      </c>
    </row>
    <row r="28" spans="1:25" ht="6" customHeight="1" thickBot="1">
      <c r="B28" s="30"/>
      <c r="C28" s="27"/>
      <c r="D28" s="27"/>
      <c r="E28" s="27"/>
      <c r="F28" s="27"/>
      <c r="G28" s="27"/>
      <c r="H28" s="27"/>
      <c r="I28" s="27"/>
      <c r="J28" s="27"/>
      <c r="K28" s="27"/>
      <c r="L28" s="27"/>
      <c r="M28" s="27"/>
      <c r="N28" s="27"/>
      <c r="O28" s="27"/>
      <c r="P28" s="27"/>
      <c r="Q28" s="27"/>
      <c r="R28" s="27"/>
      <c r="S28" s="27"/>
      <c r="T28" s="27"/>
      <c r="U28" s="27"/>
      <c r="V28" s="27"/>
      <c r="W28" s="27"/>
      <c r="X28" s="27"/>
      <c r="Y28" s="27"/>
    </row>
    <row r="29" spans="1:25" ht="15" thickBot="1">
      <c r="A29" s="92">
        <v>10</v>
      </c>
      <c r="B29" s="328" t="str">
        <f>VLOOKUP(A29,INputs!$G$3:$O$22,8,FALSE)</f>
        <v>Sub Label-Internal exception</v>
      </c>
      <c r="C29" s="152"/>
      <c r="D29" s="9"/>
      <c r="E29" s="152"/>
      <c r="F29" s="153" t="b">
        <v>0</v>
      </c>
      <c r="G29" s="152" t="s">
        <v>249</v>
      </c>
      <c r="H29" s="152"/>
      <c r="I29" s="9"/>
      <c r="J29" s="152"/>
      <c r="K29" s="9"/>
      <c r="L29" s="152"/>
      <c r="M29" s="9"/>
      <c r="N29" s="152"/>
      <c r="O29" s="9"/>
      <c r="P29" s="152"/>
      <c r="Q29" s="9"/>
      <c r="R29" s="152"/>
      <c r="S29" s="9"/>
      <c r="T29" s="152"/>
      <c r="U29" s="9"/>
      <c r="V29" s="152"/>
      <c r="W29" s="9"/>
      <c r="X29" s="152"/>
      <c r="Y29" s="9"/>
    </row>
    <row r="30" spans="1:25" ht="6" customHeight="1" thickBot="1">
      <c r="B30" s="30"/>
      <c r="C30" s="27"/>
      <c r="D30" s="27"/>
      <c r="E30" s="27"/>
      <c r="F30" s="27"/>
      <c r="G30" s="27"/>
      <c r="H30" s="27"/>
      <c r="I30" s="27"/>
      <c r="J30" s="27"/>
      <c r="K30" s="27"/>
      <c r="L30" s="27"/>
      <c r="M30" s="27"/>
      <c r="N30" s="27"/>
      <c r="O30" s="27"/>
      <c r="P30" s="27"/>
      <c r="Q30" s="27"/>
      <c r="R30" s="27"/>
      <c r="S30" s="27"/>
      <c r="T30" s="27"/>
      <c r="U30" s="27"/>
      <c r="V30" s="27"/>
      <c r="W30" s="27"/>
      <c r="X30" s="27"/>
      <c r="Y30" s="27"/>
    </row>
    <row r="31" spans="1:25" ht="15" thickBot="1">
      <c r="A31" s="92">
        <f>A29+1</f>
        <v>11</v>
      </c>
      <c r="B31" s="328" t="str">
        <f>VLOOKUP(A31,INputs!$G$3:$O$22,8,FALSE)</f>
        <v>Please fill out Sensitivity Labels Tab</v>
      </c>
      <c r="C31" s="152"/>
      <c r="D31" s="9"/>
      <c r="E31" s="152"/>
      <c r="F31" s="153" t="b">
        <v>0</v>
      </c>
      <c r="G31" s="152" t="s">
        <v>249</v>
      </c>
      <c r="H31" s="152"/>
      <c r="I31" s="9"/>
      <c r="J31" s="152"/>
      <c r="K31" s="9"/>
      <c r="L31" s="152"/>
      <c r="M31" s="9"/>
      <c r="N31" s="152"/>
      <c r="O31" s="9"/>
      <c r="P31" s="152"/>
      <c r="Q31" s="9"/>
      <c r="R31" s="152"/>
      <c r="S31" s="9"/>
      <c r="T31" s="152"/>
      <c r="U31" s="9"/>
      <c r="V31" s="152"/>
      <c r="W31" s="9"/>
      <c r="X31" s="152"/>
      <c r="Y31" s="9"/>
    </row>
    <row r="32" spans="1:25" ht="6" customHeight="1" thickBot="1">
      <c r="B32" s="30"/>
      <c r="C32" s="27"/>
      <c r="D32" s="27"/>
      <c r="E32" s="27"/>
      <c r="F32" s="27"/>
      <c r="G32" s="27"/>
      <c r="H32" s="27"/>
      <c r="I32" s="27"/>
      <c r="J32" s="27"/>
      <c r="K32" s="27"/>
      <c r="L32" s="27"/>
      <c r="M32" s="27"/>
      <c r="N32" s="27"/>
      <c r="O32" s="27"/>
      <c r="P32" s="27"/>
      <c r="Q32" s="27"/>
      <c r="R32" s="27"/>
      <c r="S32" s="27"/>
      <c r="T32" s="27"/>
      <c r="U32" s="27"/>
      <c r="V32" s="27"/>
      <c r="W32" s="27"/>
      <c r="X32" s="27"/>
      <c r="Y32" s="27"/>
    </row>
    <row r="33" spans="1:25" ht="15" thickBot="1">
      <c r="A33" s="92">
        <f>A31+1</f>
        <v>12</v>
      </c>
      <c r="B33" s="328" t="str">
        <f>VLOOKUP(A33,INputs!$G$3:$O$22,8,FALSE)</f>
        <v>Please fill out Sensitivity Labels Tab</v>
      </c>
      <c r="C33" s="152"/>
      <c r="D33" s="9"/>
      <c r="E33" s="152"/>
      <c r="F33" s="153" t="b">
        <v>0</v>
      </c>
      <c r="G33" s="152" t="s">
        <v>249</v>
      </c>
      <c r="H33" s="152"/>
      <c r="I33" s="9"/>
      <c r="J33" s="152"/>
      <c r="K33" s="9"/>
      <c r="L33" s="152"/>
      <c r="M33" s="9"/>
      <c r="N33" s="152"/>
      <c r="O33" s="9"/>
      <c r="P33" s="152"/>
      <c r="Q33" s="9"/>
      <c r="R33" s="152"/>
      <c r="S33" s="9"/>
      <c r="T33" s="152"/>
      <c r="U33" s="9"/>
      <c r="V33" s="152"/>
      <c r="W33" s="9"/>
      <c r="X33" s="152"/>
      <c r="Y33" s="9"/>
    </row>
    <row r="34" spans="1:25" ht="6" customHeight="1" thickBot="1">
      <c r="B34" s="30"/>
      <c r="C34" s="27"/>
      <c r="D34" s="27"/>
      <c r="E34" s="27"/>
      <c r="F34" s="27"/>
      <c r="G34" s="27"/>
      <c r="H34" s="27"/>
      <c r="I34" s="27"/>
      <c r="J34" s="27"/>
      <c r="K34" s="27"/>
      <c r="L34" s="27"/>
      <c r="M34" s="27"/>
      <c r="N34" s="27"/>
      <c r="O34" s="27"/>
      <c r="P34" s="27"/>
      <c r="Q34" s="27"/>
      <c r="R34" s="27"/>
      <c r="S34" s="27"/>
      <c r="T34" s="27"/>
      <c r="U34" s="27"/>
      <c r="V34" s="27"/>
      <c r="W34" s="27"/>
      <c r="X34" s="27"/>
      <c r="Y34" s="27"/>
    </row>
    <row r="35" spans="1:25" ht="15" thickBot="1">
      <c r="A35" s="92">
        <f>A33+1</f>
        <v>13</v>
      </c>
      <c r="B35" s="328" t="str">
        <f>VLOOKUP(A35,INputs!$G$3:$O$22,8,FALSE)</f>
        <v>Please fill out Sensitivity Labels Tab</v>
      </c>
      <c r="C35" s="152"/>
      <c r="D35" s="9"/>
      <c r="E35" s="152"/>
      <c r="F35" s="153" t="b">
        <v>0</v>
      </c>
      <c r="G35" s="152" t="s">
        <v>249</v>
      </c>
      <c r="H35" s="152"/>
      <c r="I35" s="9"/>
      <c r="J35" s="152"/>
      <c r="K35" s="9"/>
      <c r="L35" s="152"/>
      <c r="M35" s="9"/>
      <c r="N35" s="152"/>
      <c r="O35" s="9"/>
      <c r="P35" s="152"/>
      <c r="Q35" s="9"/>
      <c r="R35" s="152"/>
      <c r="S35" s="9"/>
      <c r="T35" s="152"/>
      <c r="U35" s="9"/>
      <c r="V35" s="152"/>
      <c r="W35" s="9"/>
      <c r="X35" s="152"/>
      <c r="Y35" s="9"/>
    </row>
    <row r="36" spans="1:25" ht="6" customHeight="1" thickBot="1">
      <c r="B36" s="30"/>
      <c r="C36" s="27"/>
      <c r="D36" s="27"/>
      <c r="E36" s="27"/>
      <c r="F36" s="27"/>
      <c r="G36" s="27"/>
      <c r="H36" s="27"/>
      <c r="I36" s="27"/>
      <c r="J36" s="27"/>
      <c r="K36" s="27"/>
      <c r="L36" s="27"/>
      <c r="M36" s="27"/>
      <c r="N36" s="27"/>
      <c r="O36" s="27"/>
      <c r="P36" s="27"/>
      <c r="Q36" s="27"/>
      <c r="R36" s="27"/>
      <c r="S36" s="27"/>
      <c r="T36" s="27"/>
      <c r="U36" s="27"/>
      <c r="V36" s="27"/>
      <c r="W36" s="27"/>
      <c r="X36" s="27"/>
      <c r="Y36" s="27"/>
    </row>
    <row r="37" spans="1:25" ht="15" thickBot="1">
      <c r="A37" s="92">
        <f>A35+1</f>
        <v>14</v>
      </c>
      <c r="B37" s="328" t="str">
        <f>VLOOKUP(A37,INputs!$G$3:$O$22,8,FALSE)</f>
        <v>Please fill out Sensitivity Labels Tab</v>
      </c>
      <c r="C37" s="152"/>
      <c r="D37" s="9"/>
      <c r="E37" s="152"/>
      <c r="F37" s="153" t="b">
        <v>0</v>
      </c>
      <c r="G37" s="152" t="s">
        <v>249</v>
      </c>
      <c r="H37" s="152"/>
      <c r="I37" s="9"/>
      <c r="J37" s="152"/>
      <c r="K37" s="9"/>
      <c r="L37" s="152"/>
      <c r="M37" s="9"/>
      <c r="N37" s="152"/>
      <c r="O37" s="9"/>
      <c r="P37" s="152"/>
      <c r="Q37" s="9"/>
      <c r="R37" s="152"/>
      <c r="S37" s="9"/>
      <c r="T37" s="152"/>
      <c r="U37" s="9"/>
      <c r="V37" s="152"/>
      <c r="W37" s="9"/>
      <c r="X37" s="152"/>
      <c r="Y37" s="9"/>
    </row>
    <row r="38" spans="1:25" ht="6" customHeight="1" thickBot="1">
      <c r="B38" s="30"/>
      <c r="C38" s="27"/>
      <c r="D38" s="27"/>
      <c r="E38" s="27"/>
      <c r="F38" s="27"/>
      <c r="G38" s="27"/>
      <c r="H38" s="27"/>
      <c r="I38" s="27"/>
      <c r="J38" s="27"/>
      <c r="K38" s="27"/>
      <c r="L38" s="27"/>
      <c r="M38" s="27"/>
      <c r="N38" s="27"/>
      <c r="O38" s="27"/>
      <c r="P38" s="27"/>
      <c r="Q38" s="27"/>
      <c r="R38" s="27"/>
      <c r="S38" s="27"/>
      <c r="T38" s="27"/>
      <c r="U38" s="27"/>
      <c r="V38" s="27"/>
      <c r="W38" s="27"/>
      <c r="X38" s="27"/>
      <c r="Y38" s="27"/>
    </row>
    <row r="39" spans="1:25" ht="15" thickBot="1">
      <c r="A39" s="92">
        <f>A37+1</f>
        <v>15</v>
      </c>
      <c r="B39" s="328" t="str">
        <f>VLOOKUP(A39,INputs!$G$3:$O$22,8,FALSE)</f>
        <v>Please fill out Sensitivity Labels Tab</v>
      </c>
      <c r="C39" s="152"/>
      <c r="D39" s="9"/>
      <c r="E39" s="152"/>
      <c r="F39" s="153" t="b">
        <v>0</v>
      </c>
      <c r="G39" s="152" t="s">
        <v>249</v>
      </c>
      <c r="H39" s="152"/>
      <c r="I39" s="9"/>
      <c r="J39" s="152"/>
      <c r="K39" s="9"/>
      <c r="L39" s="152"/>
      <c r="M39" s="9"/>
      <c r="N39" s="152"/>
      <c r="O39" s="9"/>
      <c r="P39" s="152"/>
      <c r="Q39" s="9"/>
      <c r="R39" s="152"/>
      <c r="S39" s="9"/>
      <c r="T39" s="152"/>
      <c r="U39" s="9"/>
      <c r="V39" s="152"/>
      <c r="W39" s="9"/>
      <c r="X39" s="152"/>
      <c r="Y39" s="9"/>
    </row>
    <row r="40" spans="1:25" ht="6" customHeight="1" thickBot="1">
      <c r="B40" s="30"/>
      <c r="C40" s="27"/>
      <c r="D40" s="27"/>
      <c r="E40" s="27"/>
      <c r="F40" s="27"/>
      <c r="G40" s="27"/>
      <c r="H40" s="27"/>
      <c r="I40" s="27"/>
      <c r="J40" s="27"/>
      <c r="K40" s="27"/>
      <c r="L40" s="27"/>
      <c r="M40" s="27"/>
      <c r="N40" s="27"/>
      <c r="O40" s="27"/>
      <c r="P40" s="27"/>
      <c r="Q40" s="27"/>
      <c r="R40" s="27"/>
      <c r="S40" s="27"/>
      <c r="T40" s="27"/>
      <c r="U40" s="27"/>
      <c r="V40" s="27"/>
      <c r="W40" s="27"/>
      <c r="X40" s="27"/>
      <c r="Y40" s="27"/>
    </row>
    <row r="41" spans="1:25" ht="15" thickBot="1">
      <c r="A41" s="92">
        <f>A39+1</f>
        <v>16</v>
      </c>
      <c r="B41" s="328" t="str">
        <f>VLOOKUP(A41,INputs!$G$3:$O$22,8,FALSE)</f>
        <v>Please fill out Sensitivity Labels Tab</v>
      </c>
      <c r="C41" s="152"/>
      <c r="D41" s="9"/>
      <c r="E41" s="152"/>
      <c r="F41" s="153" t="b">
        <v>0</v>
      </c>
      <c r="G41" s="152" t="s">
        <v>249</v>
      </c>
      <c r="H41" s="152"/>
      <c r="I41" s="9"/>
      <c r="J41" s="152"/>
      <c r="K41" s="9"/>
      <c r="L41" s="152"/>
      <c r="M41" s="9"/>
      <c r="N41" s="152"/>
      <c r="O41" s="9"/>
      <c r="P41" s="152"/>
      <c r="Q41" s="9"/>
      <c r="R41" s="152"/>
      <c r="S41" s="9"/>
      <c r="T41" s="152"/>
      <c r="U41" s="9"/>
      <c r="V41" s="152"/>
      <c r="W41" s="9"/>
      <c r="X41" s="152"/>
      <c r="Y41" s="9"/>
    </row>
    <row r="42" spans="1:25" ht="6" customHeight="1" thickBot="1">
      <c r="B42" s="30"/>
      <c r="C42" s="27"/>
      <c r="D42" s="27"/>
      <c r="E42" s="27"/>
      <c r="F42" s="27"/>
      <c r="G42" s="27"/>
      <c r="H42" s="27"/>
      <c r="I42" s="27"/>
      <c r="J42" s="27"/>
      <c r="K42" s="27"/>
      <c r="L42" s="27"/>
      <c r="M42" s="27"/>
      <c r="N42" s="27"/>
      <c r="O42" s="27"/>
      <c r="P42" s="27"/>
      <c r="Q42" s="27"/>
      <c r="R42" s="27"/>
      <c r="S42" s="27"/>
      <c r="T42" s="27"/>
      <c r="U42" s="27"/>
      <c r="V42" s="27"/>
      <c r="W42" s="27"/>
      <c r="X42" s="27"/>
      <c r="Y42" s="27"/>
    </row>
    <row r="43" spans="1:25" ht="15" thickBot="1">
      <c r="A43" s="92">
        <f>A41+1</f>
        <v>17</v>
      </c>
      <c r="B43" s="328" t="str">
        <f>VLOOKUP(A43,INputs!$G$3:$O$22,8,FALSE)</f>
        <v>Please fill out Sensitivity Labels Tab</v>
      </c>
      <c r="C43" s="152"/>
      <c r="D43" s="9"/>
      <c r="E43" s="152"/>
      <c r="F43" s="153" t="b">
        <v>0</v>
      </c>
      <c r="G43" s="152" t="s">
        <v>249</v>
      </c>
      <c r="H43" s="152"/>
      <c r="I43" s="9"/>
      <c r="J43" s="152"/>
      <c r="K43" s="9"/>
      <c r="L43" s="152"/>
      <c r="M43" s="9"/>
      <c r="N43" s="152"/>
      <c r="O43" s="9"/>
      <c r="P43" s="152"/>
      <c r="Q43" s="9"/>
      <c r="R43" s="152"/>
      <c r="S43" s="9"/>
      <c r="T43" s="152"/>
      <c r="U43" s="9"/>
      <c r="V43" s="152"/>
      <c r="W43" s="9"/>
      <c r="X43" s="152"/>
      <c r="Y43" s="9"/>
    </row>
    <row r="44" spans="1:25" ht="6" customHeight="1" thickBot="1">
      <c r="B44" s="30"/>
      <c r="C44" s="27"/>
      <c r="D44" s="27"/>
      <c r="E44" s="27"/>
      <c r="F44" s="27"/>
      <c r="G44" s="27"/>
      <c r="H44" s="27"/>
      <c r="I44" s="27"/>
      <c r="J44" s="27"/>
      <c r="K44" s="27"/>
      <c r="L44" s="27"/>
      <c r="M44" s="27"/>
      <c r="N44" s="27"/>
      <c r="O44" s="27"/>
      <c r="P44" s="27"/>
      <c r="Q44" s="27"/>
      <c r="R44" s="27"/>
      <c r="S44" s="27"/>
      <c r="T44" s="27"/>
      <c r="U44" s="27"/>
      <c r="V44" s="27"/>
      <c r="W44" s="27"/>
      <c r="X44" s="27"/>
      <c r="Y44" s="27"/>
    </row>
    <row r="45" spans="1:25" ht="15" thickBot="1">
      <c r="A45" s="92">
        <f>A43+1</f>
        <v>18</v>
      </c>
      <c r="B45" s="328" t="str">
        <f>VLOOKUP(A45,INputs!$G$3:$O$22,8,FALSE)</f>
        <v>Please fill out Sensitivity Labels Tab</v>
      </c>
      <c r="C45" s="152"/>
      <c r="D45" s="9"/>
      <c r="E45" s="152"/>
      <c r="F45" s="153" t="b">
        <v>0</v>
      </c>
      <c r="G45" s="152" t="s">
        <v>249</v>
      </c>
      <c r="H45" s="152"/>
      <c r="I45" s="9"/>
      <c r="J45" s="152"/>
      <c r="K45" s="9"/>
      <c r="L45" s="152"/>
      <c r="M45" s="9"/>
      <c r="N45" s="152"/>
      <c r="O45" s="9"/>
      <c r="P45" s="152"/>
      <c r="Q45" s="9"/>
      <c r="R45" s="152"/>
      <c r="S45" s="9"/>
      <c r="T45" s="152"/>
      <c r="U45" s="9"/>
      <c r="V45" s="152"/>
      <c r="W45" s="9"/>
      <c r="X45" s="152"/>
      <c r="Y45" s="9"/>
    </row>
    <row r="46" spans="1:25" ht="6" customHeight="1" thickBot="1">
      <c r="B46" s="30"/>
      <c r="C46" s="27"/>
      <c r="D46" s="27"/>
      <c r="E46" s="27"/>
      <c r="F46" s="27"/>
      <c r="G46" s="27"/>
      <c r="H46" s="27"/>
      <c r="I46" s="27"/>
      <c r="J46" s="27"/>
      <c r="K46" s="27"/>
      <c r="L46" s="27"/>
      <c r="M46" s="27"/>
      <c r="N46" s="27"/>
      <c r="O46" s="27"/>
      <c r="P46" s="27"/>
      <c r="Q46" s="27"/>
      <c r="R46" s="27"/>
      <c r="S46" s="27"/>
      <c r="T46" s="27"/>
      <c r="U46" s="27"/>
      <c r="V46" s="27"/>
      <c r="W46" s="27"/>
      <c r="X46" s="27"/>
      <c r="Y46" s="27"/>
    </row>
    <row r="47" spans="1:25" ht="15" thickBot="1">
      <c r="A47" s="92">
        <f>A45+1</f>
        <v>19</v>
      </c>
      <c r="B47" s="328" t="str">
        <f>VLOOKUP(A47,INputs!$G$3:$O$22,8,FALSE)</f>
        <v>Please fill out Sensitivity Labels Tab</v>
      </c>
      <c r="C47" s="152"/>
      <c r="D47" s="9"/>
      <c r="E47" s="152"/>
      <c r="F47" s="153" t="b">
        <v>0</v>
      </c>
      <c r="G47" s="152" t="s">
        <v>249</v>
      </c>
      <c r="H47" s="152"/>
      <c r="I47" s="9"/>
      <c r="J47" s="152"/>
      <c r="K47" s="9"/>
      <c r="L47" s="152"/>
      <c r="M47" s="9"/>
      <c r="N47" s="152"/>
      <c r="O47" s="9"/>
      <c r="P47" s="152"/>
      <c r="Q47" s="9"/>
      <c r="R47" s="152"/>
      <c r="S47" s="9"/>
      <c r="T47" s="152"/>
      <c r="U47" s="329"/>
      <c r="V47" s="152"/>
      <c r="W47" s="9"/>
      <c r="X47" s="152"/>
      <c r="Y47" s="9"/>
    </row>
    <row r="48" spans="1:25" ht="6" customHeight="1" thickBot="1">
      <c r="B48" s="30"/>
      <c r="C48" s="27"/>
      <c r="D48" s="27"/>
      <c r="E48" s="27"/>
      <c r="F48" s="27"/>
      <c r="G48" s="27"/>
      <c r="H48" s="27"/>
      <c r="I48" s="27"/>
      <c r="J48" s="27"/>
      <c r="K48" s="27"/>
      <c r="L48" s="27"/>
      <c r="M48" s="27"/>
      <c r="N48" s="27"/>
      <c r="O48" s="27"/>
      <c r="P48" s="27"/>
      <c r="Q48" s="27"/>
      <c r="R48" s="27"/>
      <c r="S48" s="27"/>
      <c r="T48" s="27"/>
      <c r="U48" s="27"/>
      <c r="V48" s="27"/>
      <c r="W48" s="27"/>
      <c r="X48" s="27"/>
      <c r="Y48" s="27"/>
    </row>
    <row r="49" spans="1:25" ht="15" thickBot="1">
      <c r="A49" s="92">
        <f>A47+1</f>
        <v>20</v>
      </c>
      <c r="B49" s="328" t="str">
        <f>VLOOKUP(A49,INputs!$G$3:$O$22,8,FALSE)</f>
        <v>Please fill out Sensitivity Labels Tab</v>
      </c>
      <c r="C49" s="152"/>
      <c r="D49" s="9"/>
      <c r="E49" s="152"/>
      <c r="F49" s="153" t="b">
        <v>0</v>
      </c>
      <c r="G49" s="152" t="s">
        <v>249</v>
      </c>
      <c r="H49" s="152"/>
      <c r="I49" s="9"/>
      <c r="J49" s="152"/>
      <c r="K49" s="9"/>
      <c r="L49" s="152"/>
      <c r="M49" s="9"/>
      <c r="N49" s="152"/>
      <c r="O49" s="9"/>
      <c r="P49" s="152"/>
      <c r="Q49" s="9"/>
      <c r="R49" s="152"/>
      <c r="S49" s="9"/>
      <c r="T49" s="152"/>
      <c r="U49" s="9"/>
      <c r="V49" s="152"/>
      <c r="W49" s="9"/>
      <c r="X49" s="152"/>
      <c r="Y49" s="9"/>
    </row>
    <row r="50" spans="1:25" ht="6" customHeight="1">
      <c r="B50" s="30"/>
      <c r="C50" s="27"/>
      <c r="D50" s="27"/>
      <c r="E50" s="27"/>
      <c r="F50" s="27"/>
      <c r="G50" s="27"/>
      <c r="H50" s="27"/>
      <c r="I50" s="27"/>
      <c r="J50" s="27"/>
      <c r="K50" s="27"/>
      <c r="L50" s="27"/>
      <c r="M50" s="27"/>
      <c r="N50" s="27"/>
      <c r="O50" s="27"/>
      <c r="P50" s="27"/>
      <c r="Q50" s="27"/>
      <c r="R50" s="27"/>
      <c r="S50" s="27"/>
      <c r="T50" s="27"/>
      <c r="U50" s="27"/>
      <c r="V50" s="27"/>
      <c r="W50" s="27"/>
      <c r="X50" s="27"/>
      <c r="Y50" s="27"/>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785" priority="553">
      <formula>$U11="yes"</formula>
    </cfRule>
  </conditionalFormatting>
  <conditionalFormatting sqref="O13">
    <cfRule type="expression" dxfId="1784" priority="429">
      <formula>$U13="yes"</formula>
    </cfRule>
  </conditionalFormatting>
  <conditionalFormatting sqref="O15">
    <cfRule type="expression" dxfId="1783" priority="424">
      <formula>$U15="yes"</formula>
    </cfRule>
  </conditionalFormatting>
  <conditionalFormatting sqref="O17">
    <cfRule type="expression" dxfId="1782" priority="419">
      <formula>$U17="yes"</formula>
    </cfRule>
  </conditionalFormatting>
  <conditionalFormatting sqref="O19">
    <cfRule type="expression" dxfId="1781" priority="414">
      <formula>$U19="yes"</formula>
    </cfRule>
  </conditionalFormatting>
  <conditionalFormatting sqref="O21">
    <cfRule type="expression" dxfId="1780" priority="409">
      <formula>$U21="yes"</formula>
    </cfRule>
  </conditionalFormatting>
  <conditionalFormatting sqref="O23">
    <cfRule type="expression" dxfId="1779" priority="404">
      <formula>$U23="yes"</formula>
    </cfRule>
  </conditionalFormatting>
  <conditionalFormatting sqref="O25">
    <cfRule type="expression" dxfId="1778" priority="399">
      <formula>$U25="yes"</formula>
    </cfRule>
  </conditionalFormatting>
  <conditionalFormatting sqref="O27">
    <cfRule type="expression" dxfId="1777" priority="394">
      <formula>$U27="yes"</formula>
    </cfRule>
  </conditionalFormatting>
  <conditionalFormatting sqref="O29">
    <cfRule type="expression" dxfId="1776" priority="389">
      <formula>$U29="yes"</formula>
    </cfRule>
  </conditionalFormatting>
  <conditionalFormatting sqref="O31">
    <cfRule type="expression" dxfId="1775" priority="384">
      <formula>$U31="yes"</formula>
    </cfRule>
  </conditionalFormatting>
  <conditionalFormatting sqref="O33">
    <cfRule type="expression" dxfId="1774" priority="379">
      <formula>$U33="yes"</formula>
    </cfRule>
  </conditionalFormatting>
  <conditionalFormatting sqref="O35">
    <cfRule type="expression" dxfId="1773" priority="374">
      <formula>$U35="yes"</formula>
    </cfRule>
  </conditionalFormatting>
  <conditionalFormatting sqref="O37">
    <cfRule type="expression" dxfId="1772" priority="369">
      <formula>$U37="yes"</formula>
    </cfRule>
  </conditionalFormatting>
  <conditionalFormatting sqref="O39">
    <cfRule type="expression" dxfId="1771" priority="364">
      <formula>$U39="yes"</formula>
    </cfRule>
  </conditionalFormatting>
  <conditionalFormatting sqref="O41">
    <cfRule type="expression" dxfId="1770" priority="359">
      <formula>$U41="yes"</formula>
    </cfRule>
  </conditionalFormatting>
  <conditionalFormatting sqref="O43">
    <cfRule type="expression" dxfId="1769" priority="354">
      <formula>$U43="yes"</formula>
    </cfRule>
  </conditionalFormatting>
  <conditionalFormatting sqref="O45">
    <cfRule type="expression" dxfId="1768" priority="349">
      <formula>$U45="yes"</formula>
    </cfRule>
  </conditionalFormatting>
  <conditionalFormatting sqref="O47">
    <cfRule type="expression" dxfId="1767" priority="344">
      <formula>$U47="yes"</formula>
    </cfRule>
  </conditionalFormatting>
  <conditionalFormatting sqref="O49">
    <cfRule type="expression" dxfId="1766"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79" id="{CF3DC6ED-8088-467D-8DCD-DD01D3620830}">
            <xm:f>$B15=INputs!$P$4</xm:f>
            <x14:dxf>
              <font>
                <color theme="2" tint="-0.24994659260841701"/>
              </font>
            </x14:dxf>
          </x14:cfRule>
          <x14:cfRule type="expression" priority="80" id="{165D9218-E7BA-4E1F-94C9-15EABD43B8FF}">
            <xm:f>$B15=INputs!$P$3</xm:f>
            <x14:dxf>
              <font>
                <color theme="2" tint="-0.24994659260841701"/>
              </font>
            </x14:dxf>
          </x14:cfRule>
          <xm:sqref>B15</xm:sqref>
        </x14:conditionalFormatting>
        <x14:conditionalFormatting xmlns:xm="http://schemas.microsoft.com/office/excel/2006/main">
          <x14:cfRule type="expression" priority="76" id="{B6F4F92C-539A-4F42-B917-E16CDB9FB686}">
            <xm:f>$B17=INputs!$P$4</xm:f>
            <x14:dxf>
              <font>
                <color theme="2" tint="-0.24994659260841701"/>
              </font>
            </x14:dxf>
          </x14:cfRule>
          <x14:cfRule type="expression" priority="77" id="{AE9664F9-C98F-4A50-A2B1-0132BF558EDC}">
            <xm:f>$B17=INputs!$P$3</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0" id="{E3078FB5-0FF3-4AC4-AB9D-78953336FEC4}">
            <xm:f>$B21=INputs!$P$4</xm:f>
            <x14:dxf>
              <font>
                <color theme="2" tint="-0.24994659260841701"/>
              </font>
            </x14:dxf>
          </x14:cfRule>
          <x14:cfRule type="expression" priority="71" id="{C3E2B02C-BD6D-4F01-B22D-E922B9F3F15B}">
            <xm:f>$B21=INputs!$P$3</xm:f>
            <x14:dxf>
              <font>
                <color theme="2" tint="-0.24994659260841701"/>
              </font>
            </x14:dxf>
          </x14:cfRule>
          <xm:sqref>B21</xm:sqref>
        </x14:conditionalFormatting>
        <x14:conditionalFormatting xmlns:xm="http://schemas.microsoft.com/office/excel/2006/main">
          <x14:cfRule type="expression" priority="61" id="{6986C262-5E49-4BDE-BD59-1AC73447AA35}">
            <xm:f>$B23=INputs!$P$4</xm:f>
            <x14:dxf>
              <font>
                <color theme="2" tint="-0.24994659260841701"/>
              </font>
            </x14:dxf>
          </x14:cfRule>
          <x14:cfRule type="expression" priority="62" id="{88F1EDC0-20D2-455F-87B7-4EE216FBC86E}">
            <xm:f>$B23=INputs!$P$3</xm:f>
            <x14:dxf>
              <font>
                <color theme="2" tint="-0.24994659260841701"/>
              </font>
            </x14:dxf>
          </x14:cfRule>
          <xm:sqref>B23</xm:sqref>
        </x14:conditionalFormatting>
        <x14:conditionalFormatting xmlns:xm="http://schemas.microsoft.com/office/excel/2006/main">
          <x14:cfRule type="expression" priority="58" id="{24DF76D5-A654-4A3E-BD25-CC31E6E7B72D}">
            <xm:f>$B25=INputs!$P$4</xm:f>
            <x14:dxf>
              <font>
                <color theme="2" tint="-0.24994659260841701"/>
              </font>
            </x14:dxf>
          </x14:cfRule>
          <x14:cfRule type="expression" priority="59" id="{D2801CA6-20FE-4204-9E23-E4DF202B276B}">
            <xm:f>$B25=INputs!$P$3</xm:f>
            <x14:dxf>
              <font>
                <color theme="2" tint="-0.24994659260841701"/>
              </font>
            </x14:dxf>
          </x14:cfRule>
          <xm:sqref>B25</xm:sqref>
        </x14:conditionalFormatting>
        <x14:conditionalFormatting xmlns:xm="http://schemas.microsoft.com/office/excel/2006/main">
          <x14:cfRule type="expression" priority="55" id="{A3D68865-F603-49EE-807F-A9E6A3057C6D}">
            <xm:f>$B27=INputs!$P$4</xm:f>
            <x14:dxf>
              <font>
                <color theme="2" tint="-0.24994659260841701"/>
              </font>
            </x14:dxf>
          </x14:cfRule>
          <x14:cfRule type="expression" priority="56" id="{F25AFE49-8D12-4534-977E-D89280287C82}">
            <xm:f>$B27=INputs!$P$3</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49" id="{12C1C490-B618-4187-B767-D0A7611008D8}">
            <xm:f>$B31=INputs!$P$4</xm:f>
            <x14:dxf>
              <font>
                <color theme="2" tint="-0.24994659260841701"/>
              </font>
            </x14:dxf>
          </x14:cfRule>
          <x14:cfRule type="expression" priority="50" id="{C4ACCD8F-2A9D-40BE-9B7F-FB77421DBF0E}">
            <xm:f>$B31=INputs!$P$3</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3" id="{84869F3F-AE5B-44B6-AE74-450E81D86D09}">
            <xm:f>$B35=INputs!$P$4</xm:f>
            <x14:dxf>
              <font>
                <color theme="2" tint="-0.24994659260841701"/>
              </font>
            </x14:dxf>
          </x14:cfRule>
          <x14:cfRule type="expression" priority="44" id="{110034F6-820B-40B7-8F3C-D7AF157DBB2E}">
            <xm:f>$B35=INputs!$P$3</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2" id="{99049A78-E626-49B2-928E-2D1516FE8D97}">
            <xm:f>$B49=INputs!$P$4</xm:f>
            <x14:dxf>
              <font>
                <color theme="2" tint="-0.24994659260841701"/>
              </font>
            </x14:dxf>
          </x14:cfRule>
          <x14:cfRule type="expression" priority="23" id="{6604531A-B5B7-4D91-881A-DDB321237C7F}">
            <xm:f>$B49=INputs!$P$3</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m:sqref>C15:Y15</xm:sqref>
        </x14:conditionalFormatting>
        <x14:conditionalFormatting xmlns:xm="http://schemas.microsoft.com/office/excel/2006/main">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m:sqref>C17:Y17</xm:sqref>
        </x14:conditionalFormatting>
        <x14:conditionalFormatting xmlns:xm="http://schemas.microsoft.com/office/excel/2006/main">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m:sqref>C29:Y29</xm:sqref>
        </x14:conditionalFormatting>
        <x14:conditionalFormatting xmlns:xm="http://schemas.microsoft.com/office/excel/2006/main">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m:sqref>C31:Y31</xm:sqref>
        </x14:conditionalFormatting>
        <x14:conditionalFormatting xmlns:xm="http://schemas.microsoft.com/office/excel/2006/main">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m:sqref>C47:Y47</xm:sqref>
        </x14:conditionalFormatting>
        <x14:conditionalFormatting xmlns:xm="http://schemas.microsoft.com/office/excel/2006/main">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4" id="{D6B84F38-513F-463C-88CC-ECACB2FD377B}">
            <xm:f>K13=INputs!$AB$4</xm:f>
            <x14:dxf>
              <font>
                <color theme="2" tint="-0.24994659260841701"/>
              </font>
              <fill>
                <patternFill>
                  <bgColor theme="2" tint="-0.24994659260841701"/>
                </patternFill>
              </fill>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M13</xm:sqref>
        </x14:conditionalFormatting>
        <x14:conditionalFormatting xmlns:xm="http://schemas.microsoft.com/office/excel/2006/main">
          <x14:cfRule type="expression" priority="311" id="{4B31E47A-DDD4-43CB-86A6-B75A021B6BE8}">
            <xm:f>K15=INputs!$AB$4</xm:f>
            <x14:dxf>
              <font>
                <color theme="2" tint="-0.24994659260841701"/>
              </font>
              <fill>
                <patternFill>
                  <bgColor theme="2" tint="-0.24994659260841701"/>
                </patternFill>
              </fill>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M15</xm:sqref>
        </x14:conditionalFormatting>
        <x14:conditionalFormatting xmlns:xm="http://schemas.microsoft.com/office/excel/2006/main">
          <x14:cfRule type="expression" priority="308" id="{8750F12D-54F1-4205-8228-AF56B494DC24}">
            <xm:f>K17=INputs!$AB$4</xm:f>
            <x14:dxf>
              <font>
                <color theme="2" tint="-0.24994659260841701"/>
              </font>
              <fill>
                <patternFill>
                  <bgColor theme="2" tint="-0.24994659260841701"/>
                </patternFill>
              </fill>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M17</xm:sqref>
        </x14:conditionalFormatting>
        <x14:conditionalFormatting xmlns:xm="http://schemas.microsoft.com/office/excel/2006/main">
          <x14:cfRule type="expression" priority="305" id="{2600AC97-8035-4ED6-B0C5-46CD6D1FAD82}">
            <xm:f>K19=INputs!$AB$4</xm:f>
            <x14:dxf>
              <font>
                <color theme="2" tint="-0.24994659260841701"/>
              </font>
              <fill>
                <patternFill>
                  <bgColor theme="2" tint="-0.24994659260841701"/>
                </patternFill>
              </fill>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M19</xm:sqref>
        </x14:conditionalFormatting>
        <x14:conditionalFormatting xmlns:xm="http://schemas.microsoft.com/office/excel/2006/main">
          <x14:cfRule type="expression" priority="302" id="{D879F0B6-29E3-4394-A5F4-D276A53116A9}">
            <xm:f>K21=INputs!$AB$4</xm:f>
            <x14:dxf>
              <font>
                <color theme="2" tint="-0.24994659260841701"/>
              </font>
              <fill>
                <patternFill>
                  <bgColor theme="2" tint="-0.24994659260841701"/>
                </patternFill>
              </fill>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M21</xm:sqref>
        </x14:conditionalFormatting>
        <x14:conditionalFormatting xmlns:xm="http://schemas.microsoft.com/office/excel/2006/main">
          <x14:cfRule type="expression" priority="299" id="{F44467AA-D0F6-4DE9-9047-3D6C0E512BAE}">
            <xm:f>K23=INputs!$AB$4</xm:f>
            <x14:dxf>
              <font>
                <color theme="2" tint="-0.24994659260841701"/>
              </font>
              <fill>
                <patternFill>
                  <bgColor theme="2" tint="-0.24994659260841701"/>
                </patternFill>
              </fill>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M23</xm:sqref>
        </x14:conditionalFormatting>
        <x14:conditionalFormatting xmlns:xm="http://schemas.microsoft.com/office/excel/2006/main">
          <x14:cfRule type="expression" priority="296" id="{BDDAA6D5-B5B0-4C20-87AE-0BAFB3A77FCB}">
            <xm:f>K25=INputs!$AB$4</xm:f>
            <x14:dxf>
              <font>
                <color theme="2" tint="-0.24994659260841701"/>
              </font>
              <fill>
                <patternFill>
                  <bgColor theme="2" tint="-0.24994659260841701"/>
                </patternFill>
              </fill>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M25</xm:sqref>
        </x14:conditionalFormatting>
        <x14:conditionalFormatting xmlns:xm="http://schemas.microsoft.com/office/excel/2006/main">
          <x14:cfRule type="expression" priority="293" id="{08EFB2B1-590D-4880-B4AE-D6EF2DCF6623}">
            <xm:f>K27=INputs!$AB$4</xm:f>
            <x14:dxf>
              <font>
                <color theme="2" tint="-0.24994659260841701"/>
              </font>
              <fill>
                <patternFill>
                  <bgColor theme="2" tint="-0.24994659260841701"/>
                </patternFill>
              </fill>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M27</xm:sqref>
        </x14:conditionalFormatting>
        <x14:conditionalFormatting xmlns:xm="http://schemas.microsoft.com/office/excel/2006/main">
          <x14:cfRule type="expression" priority="290" id="{4178F043-1728-404D-913F-9F90D8267C07}">
            <xm:f>K29=INputs!$AB$4</xm:f>
            <x14:dxf>
              <font>
                <color theme="2" tint="-0.24994659260841701"/>
              </font>
              <fill>
                <patternFill>
                  <bgColor theme="2" tint="-0.24994659260841701"/>
                </patternFill>
              </fill>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M29</xm:sqref>
        </x14:conditionalFormatting>
        <x14:conditionalFormatting xmlns:xm="http://schemas.microsoft.com/office/excel/2006/main">
          <x14:cfRule type="expression" priority="287" id="{AD28C35C-52F2-4680-84B0-8FEC0877BC23}">
            <xm:f>K31=INputs!$AB$4</xm:f>
            <x14:dxf>
              <font>
                <color theme="2" tint="-0.24994659260841701"/>
              </font>
              <fill>
                <patternFill>
                  <bgColor theme="2" tint="-0.24994659260841701"/>
                </patternFill>
              </fill>
            </x14:dxf>
          </x14:cfRule>
          <x14:cfRule type="expression" priority="288" id="{D6F42F17-42F9-4DC0-9036-D5C979A9E889}">
            <xm:f>K31=INputs!$AB$3</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4" id="{1B60E38A-F7DF-45F2-94B2-844B69B88757}">
            <xm:f>K33=INputs!$AB$4</xm:f>
            <x14:dxf>
              <font>
                <color theme="2" tint="-0.24994659260841701"/>
              </font>
              <fill>
                <patternFill>
                  <bgColor theme="2" tint="-0.24994659260841701"/>
                </patternFill>
              </fill>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69" id="{1D42F897-E99C-40ED-8BA9-3B41B286BD7C}">
            <xm:f>K43=INputs!$AB$4</xm:f>
            <x14:dxf>
              <font>
                <color theme="2" tint="-0.24994659260841701"/>
              </font>
              <fill>
                <patternFill>
                  <bgColor theme="2" tint="-0.24994659260841701"/>
                </patternFill>
              </fill>
            </x14:dxf>
          </x14:cfRule>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M43</xm:sqref>
        </x14:conditionalFormatting>
        <x14:conditionalFormatting xmlns:xm="http://schemas.microsoft.com/office/excel/2006/main">
          <x14:cfRule type="expression" priority="266" id="{227F732A-6305-41D1-AA95-3965AC1EF786}">
            <xm:f>K45=INputs!$AB$4</xm:f>
            <x14:dxf>
              <font>
                <color theme="2" tint="-0.24994659260841701"/>
              </font>
              <fill>
                <patternFill>
                  <bgColor theme="2" tint="-0.24994659260841701"/>
                </patternFill>
              </fill>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M45</xm:sqref>
        </x14:conditionalFormatting>
        <x14:conditionalFormatting xmlns:xm="http://schemas.microsoft.com/office/excel/2006/main">
          <x14:cfRule type="expression" priority="263" id="{C97330BD-49B5-4319-9D2A-1DF80708D027}">
            <xm:f>K47=INputs!$AB$4</xm:f>
            <x14:dxf>
              <font>
                <color theme="2" tint="-0.24994659260841701"/>
              </font>
              <fill>
                <patternFill>
                  <bgColor theme="2" tint="-0.24994659260841701"/>
                </patternFill>
              </fill>
            </x14:dxf>
          </x14:cfRule>
          <x14:cfRule type="expression" priority="264" id="{4316372E-14B3-40C1-95E3-ED39C37F8255}">
            <xm:f>K47=INputs!$AB$3</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0" id="{540F0393-6F20-486F-82C0-BC432B82C4BB}">
            <xm:f>K49=INputs!$AB$4</xm:f>
            <x14:dxf>
              <font>
                <color theme="2" tint="-0.24994659260841701"/>
              </font>
              <fill>
                <patternFill>
                  <bgColor theme="2" tint="-0.24994659260841701"/>
                </patternFill>
              </fill>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M49</xm:sqref>
        </x14:conditionalFormatting>
        <x14:conditionalFormatting xmlns:xm="http://schemas.microsoft.com/office/excel/2006/main">
          <x14:cfRule type="expression" priority="436" id="{6115F0E1-6AED-4633-8681-9A808329547C}">
            <xm:f>K11=INputs!$AB$4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554" id="{7466FE83-A79F-439B-A1AB-5FC1A9D9C1ED}">
            <xm:f>$M11=INputs!$AD$3</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26" id="{1DD889ED-068C-4672-BE2A-3D912F33931B}">
            <xm:f>K13=INputs!$AB$4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30" id="{46628ED0-6EE8-4F5D-A5BB-9FE38BBB247C}">
            <xm:f>$M13=INputs!$AD$3</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396" id="{CCB1ACAD-7E6B-4146-83E0-0ADDADB2E9BC}">
            <xm:f>K25=INputs!$AB$4</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400" id="{7C3F7432-97F2-4AD6-952E-3CB285A2A1F6}">
            <xm:f>$M25=INputs!$AD$3</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1" id="{39577506-6803-4602-B1AB-FFE459E6A688}">
            <xm:f>K27=INputs!$AB$4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5" id="{37A40A57-ED24-4F35-AE8E-6D9A7572070F}">
            <xm:f>$M27=INputs!$AD$3</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6" id="{11C7D194-C4EC-4B05-AC5B-D4415C2E7958}">
            <xm:f>K29=INputs!$AB$4</xm:f>
            <x14:dxf>
              <font>
                <color theme="2" tint="-0.24994659260841701"/>
              </font>
              <fill>
                <patternFill>
                  <bgColor theme="2" tint="-0.24994659260841701"/>
                </patternFill>
              </fill>
            </x14:dxf>
          </x14:cfRule>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1" id="{B83D9F77-1F56-43CB-BB73-5FFBCFF18C87}">
            <xm:f>K31=INputs!$AB$4</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14:cfRule type="expression" priority="385" id="{6392CE8C-F481-4CC8-9F3F-7DFFB4C0262D}">
            <xm:f>$M31=INputs!$AD$3</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6" id="{D2091834-7A04-4748-8451-13E5F2BFF53B}">
            <xm:f>K33=INputs!$AB$4</xm:f>
            <x14:dxf>
              <font>
                <color theme="2" tint="-0.24994659260841701"/>
              </font>
              <fill>
                <patternFill>
                  <bgColor theme="2" tint="-0.24994659260841701"/>
                </patternFill>
              </fill>
            </x14:dxf>
          </x14:cfRule>
          <x14:cfRule type="expression" priority="377" id="{D821A992-535B-4A66-AAB5-0CFF2A90A528}">
            <xm:f>$K33=INputs!$AB$3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66" id="{30439E21-BB8C-40CF-AB31-D550CF58B46D}">
            <xm:f>K37=INputs!$AB$4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70" id="{9A5FEB5F-CD74-4D82-BFAD-D429FFF927E1}">
            <xm:f>$M37=INputs!$AD$3</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1" id="{3C3DCCF5-21EB-4BC2-83E4-F3F9C171CBDA}">
            <xm:f>K39=INputs!$AB$4</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6" id="{7CFB8963-D569-44A7-8633-3FE0F381D610}">
            <xm:f>K41=INputs!$AB$4</xm:f>
            <x14:dxf>
              <font>
                <color theme="2" tint="-0.24994659260841701"/>
              </font>
              <fill>
                <patternFill>
                  <bgColor theme="2" tint="-0.24994659260841701"/>
                </patternFill>
              </fill>
            </x14:dxf>
          </x14:cfRule>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1" id="{E0458448-5A95-4A79-973B-B8D45E78F4C4}">
            <xm:f>K43=INputs!$AB$4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3" id="{07E17FD5-071F-45F6-9B9F-6D90EDD2509A}">
            <xm:f>$M43=INputs!$AD$4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1" id="{1D170F34-1647-4BED-A464-916BF43E1007}">
            <xm:f>K47=INputs!$AB$4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5" id="{07DEC570-6110-4D51-B89D-297CEF379199}">
            <xm:f>$M47=INputs!$AD$3</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36" id="{E4B9D2DF-66A3-48DB-85A1-2BC04FC4234E}">
            <xm:f>K49=INputs!$AB$4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40" id="{439197A7-B82A-4027-9F84-C15D8B53385F}">
            <xm:f>$M49=INputs!$AD$3</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bottomRight" activeCell="Q95" sqref="Q95"/>
      <selection pane="bottomLeft" activeCell="A12" sqref="A12"/>
      <selection pane="topRight" activeCell="D1" sqref="D1"/>
    </sheetView>
  </sheetViews>
  <sheetFormatPr defaultRowHeight="14.45" outlineLevelRow="1"/>
  <cols>
    <col min="1" max="1" width="3.7109375" style="79" customWidth="1"/>
    <col min="2" max="2" width="9.140625" style="79"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3.45">
      <c r="C1" s="37" t="s">
        <v>99</v>
      </c>
      <c r="D1" s="37"/>
      <c r="E1" s="37"/>
      <c r="F1" s="37"/>
      <c r="G1" s="37"/>
      <c r="H1" s="37"/>
      <c r="I1" s="37"/>
      <c r="J1" s="37"/>
      <c r="K1" s="37"/>
      <c r="L1" s="37"/>
      <c r="M1" s="37"/>
      <c r="N1" s="37"/>
      <c r="O1" s="37"/>
      <c r="P1" s="37"/>
      <c r="Q1" s="37"/>
      <c r="R1" s="37"/>
      <c r="S1" s="37"/>
      <c r="T1" s="37"/>
    </row>
    <row r="2" spans="1:21" ht="15" thickBot="1">
      <c r="C2" s="1"/>
    </row>
    <row r="3" spans="1:21" ht="18.95" thickBot="1">
      <c r="C3" s="88" t="s">
        <v>164</v>
      </c>
      <c r="E3" s="684" t="s">
        <v>250</v>
      </c>
      <c r="F3" s="685"/>
      <c r="H3" s="676" t="s">
        <v>251</v>
      </c>
      <c r="I3" s="677"/>
      <c r="K3" s="676" t="s">
        <v>252</v>
      </c>
      <c r="L3" s="677"/>
      <c r="N3" s="90" t="s">
        <v>253</v>
      </c>
      <c r="P3" s="676" t="s">
        <v>254</v>
      </c>
      <c r="Q3" s="677"/>
      <c r="S3" s="676" t="s">
        <v>255</v>
      </c>
      <c r="T3" s="677"/>
    </row>
    <row r="4" spans="1:21" s="3" customFormat="1" ht="189" hidden="1" customHeight="1" outlineLevel="1">
      <c r="A4" s="503" t="s">
        <v>125</v>
      </c>
      <c r="B4" s="133"/>
      <c r="C4" s="137" t="s">
        <v>174</v>
      </c>
      <c r="D4" s="136"/>
      <c r="E4" s="688" t="s">
        <v>101</v>
      </c>
      <c r="F4" s="688"/>
      <c r="G4" s="136"/>
      <c r="H4" s="688" t="s">
        <v>256</v>
      </c>
      <c r="I4" s="688"/>
      <c r="J4" s="136"/>
      <c r="K4" s="688" t="s">
        <v>257</v>
      </c>
      <c r="L4" s="688"/>
      <c r="M4" s="136"/>
      <c r="N4" s="504" t="s">
        <v>258</v>
      </c>
      <c r="O4" s="136"/>
      <c r="P4" s="688" t="s">
        <v>259</v>
      </c>
      <c r="Q4" s="688"/>
      <c r="R4" s="136"/>
      <c r="S4" s="688" t="s">
        <v>260</v>
      </c>
      <c r="T4" s="637"/>
    </row>
    <row r="5" spans="1:21" s="3" customFormat="1" ht="43.5" hidden="1" outlineLevel="1">
      <c r="A5" s="689" t="s">
        <v>133</v>
      </c>
      <c r="B5" s="503"/>
      <c r="C5" s="483" t="s">
        <v>261</v>
      </c>
      <c r="D5" s="517"/>
      <c r="E5" s="612"/>
      <c r="F5" s="612"/>
      <c r="G5" s="517"/>
      <c r="H5" s="612"/>
      <c r="I5" s="612"/>
      <c r="J5" s="517"/>
      <c r="K5" s="612"/>
      <c r="L5" s="612"/>
      <c r="M5" s="517"/>
      <c r="N5" s="484"/>
      <c r="O5" s="517"/>
      <c r="P5" s="612"/>
      <c r="Q5" s="612"/>
      <c r="R5" s="517"/>
      <c r="S5" s="602" t="s">
        <v>262</v>
      </c>
      <c r="T5" s="602"/>
    </row>
    <row r="6" spans="1:21" s="3" customFormat="1" hidden="1" outlineLevel="1">
      <c r="A6" s="689"/>
      <c r="B6" s="503"/>
      <c r="C6" s="484"/>
      <c r="D6" s="517"/>
      <c r="E6" s="612"/>
      <c r="F6" s="612"/>
      <c r="G6" s="517"/>
      <c r="H6" s="612"/>
      <c r="I6" s="612"/>
      <c r="J6" s="517"/>
      <c r="K6" s="612"/>
      <c r="L6" s="612"/>
      <c r="M6" s="517"/>
      <c r="N6" s="484"/>
      <c r="O6" s="517"/>
      <c r="P6" s="612"/>
      <c r="Q6" s="612"/>
      <c r="R6" s="517"/>
      <c r="S6" s="612"/>
      <c r="T6" s="612"/>
    </row>
    <row r="7" spans="1:21" s="3" customFormat="1" hidden="1" outlineLevel="1">
      <c r="A7" s="689"/>
      <c r="B7" s="503"/>
      <c r="C7" s="484"/>
      <c r="D7" s="517"/>
      <c r="E7" s="612"/>
      <c r="F7" s="612"/>
      <c r="G7" s="517"/>
      <c r="H7" s="612"/>
      <c r="I7" s="612"/>
      <c r="J7" s="517"/>
      <c r="K7" s="612"/>
      <c r="L7" s="612"/>
      <c r="M7" s="517"/>
      <c r="N7" s="484"/>
      <c r="O7" s="517"/>
      <c r="P7" s="612"/>
      <c r="Q7" s="612"/>
      <c r="R7" s="517"/>
      <c r="S7" s="612"/>
      <c r="T7" s="612"/>
    </row>
    <row r="8" spans="1:21" s="3" customFormat="1" hidden="1" outlineLevel="1">
      <c r="A8" s="689"/>
      <c r="B8" s="503"/>
      <c r="C8" s="484"/>
      <c r="D8" s="517"/>
      <c r="E8" s="611"/>
      <c r="F8" s="611"/>
      <c r="G8" s="517"/>
      <c r="H8" s="612"/>
      <c r="I8" s="612"/>
      <c r="J8" s="517"/>
      <c r="K8" s="612"/>
      <c r="L8" s="612"/>
      <c r="M8" s="517"/>
      <c r="N8" s="484"/>
      <c r="O8" s="517"/>
      <c r="P8" s="612"/>
      <c r="Q8" s="612"/>
      <c r="R8" s="517"/>
      <c r="S8" s="612"/>
      <c r="T8" s="612"/>
    </row>
    <row r="9" spans="1:21" s="3" customFormat="1" hidden="1" outlineLevel="1">
      <c r="A9" s="689"/>
      <c r="B9" s="503"/>
      <c r="C9" s="484"/>
      <c r="D9" s="517"/>
      <c r="E9" s="690"/>
      <c r="F9" s="691"/>
      <c r="G9" s="517"/>
      <c r="H9" s="612"/>
      <c r="I9" s="611"/>
      <c r="J9" s="517"/>
      <c r="K9" s="612"/>
      <c r="L9" s="612"/>
      <c r="M9" s="517"/>
      <c r="N9" s="484"/>
      <c r="O9" s="517"/>
      <c r="P9" s="612"/>
      <c r="Q9" s="612"/>
      <c r="R9" s="517"/>
      <c r="S9" s="612"/>
      <c r="T9" s="612"/>
    </row>
    <row r="10" spans="1:21" ht="15" collapsed="1" thickBot="1">
      <c r="C10" s="502"/>
      <c r="E10" s="674" t="s">
        <v>141</v>
      </c>
      <c r="F10" s="674"/>
      <c r="G10" s="149"/>
      <c r="H10" s="34"/>
      <c r="I10" s="148" t="s">
        <v>142</v>
      </c>
      <c r="K10" s="33"/>
      <c r="L10" s="482" t="s">
        <v>141</v>
      </c>
      <c r="M10" s="482"/>
      <c r="N10" s="15"/>
      <c r="P10" s="514"/>
      <c r="Q10" s="482" t="s">
        <v>141</v>
      </c>
      <c r="R10" s="482"/>
      <c r="S10" s="586" t="s">
        <v>141</v>
      </c>
      <c r="T10" s="586"/>
      <c r="U10" s="26"/>
    </row>
    <row r="11" spans="1:21" ht="3.6" customHeight="1" thickBot="1">
      <c r="C11" s="260"/>
      <c r="D11" s="197"/>
      <c r="E11" s="197"/>
      <c r="F11" s="197"/>
      <c r="G11" s="197"/>
      <c r="H11" s="197"/>
      <c r="I11" s="197"/>
      <c r="J11" s="197"/>
      <c r="K11" s="197"/>
      <c r="L11" s="197"/>
      <c r="M11" s="197"/>
      <c r="N11" s="197"/>
      <c r="O11" s="197"/>
      <c r="P11" s="197"/>
      <c r="Q11" s="197"/>
      <c r="R11" s="197"/>
      <c r="S11" s="197"/>
      <c r="T11" s="261"/>
    </row>
    <row r="12" spans="1:21" hidden="1">
      <c r="C12" s="27"/>
      <c r="D12" s="27"/>
      <c r="E12" s="27"/>
      <c r="F12" s="27"/>
      <c r="G12" s="27"/>
      <c r="H12" s="27"/>
      <c r="I12" s="27"/>
      <c r="J12" s="27"/>
      <c r="K12" s="27"/>
      <c r="L12" s="27"/>
      <c r="M12" s="27"/>
      <c r="N12" s="27"/>
      <c r="O12" s="27"/>
      <c r="P12" s="27"/>
      <c r="Q12" s="27"/>
      <c r="R12" s="27"/>
      <c r="S12" s="27"/>
      <c r="T12" s="27"/>
    </row>
    <row r="13" spans="1:21" ht="16.5" thickBot="1">
      <c r="A13" s="681">
        <v>1</v>
      </c>
      <c r="B13" s="474">
        <f>A13+10</f>
        <v>11</v>
      </c>
      <c r="C13" s="669" t="str">
        <f>VLOOKUP(A13,INputs!$G$3:$O$22,9,FALSE)</f>
        <v>Label-Public - Pending checkbox selection on Sensitivity Labels Tab</v>
      </c>
      <c r="D13" s="445"/>
      <c r="E13" s="446" t="b">
        <v>0</v>
      </c>
      <c r="F13" s="447" t="s">
        <v>263</v>
      </c>
      <c r="G13" s="448"/>
      <c r="H13" s="686"/>
      <c r="I13" s="686"/>
      <c r="J13" s="449"/>
      <c r="K13" s="450" t="b">
        <v>0</v>
      </c>
      <c r="L13" s="449" t="s">
        <v>264</v>
      </c>
      <c r="M13" s="448"/>
      <c r="N13" s="451" t="s">
        <v>265</v>
      </c>
      <c r="O13" s="448"/>
      <c r="P13" s="687" t="s">
        <v>266</v>
      </c>
      <c r="Q13" s="687"/>
      <c r="R13" s="448"/>
      <c r="S13" s="679" t="s">
        <v>267</v>
      </c>
      <c r="T13" s="680"/>
    </row>
    <row r="14" spans="1:21" ht="15.95">
      <c r="A14" s="682"/>
      <c r="B14" s="209">
        <f>B13+1</f>
        <v>12</v>
      </c>
      <c r="C14" s="670"/>
      <c r="D14" s="452"/>
      <c r="E14" s="56" t="b">
        <v>0</v>
      </c>
      <c r="F14" s="57" t="s">
        <v>268</v>
      </c>
      <c r="H14" s="39"/>
      <c r="I14" s="579" t="s">
        <v>141</v>
      </c>
      <c r="J14" s="579"/>
      <c r="K14" s="668" t="b">
        <v>0</v>
      </c>
      <c r="L14" s="585" t="s">
        <v>266</v>
      </c>
      <c r="N14" s="35" t="s">
        <v>142</v>
      </c>
      <c r="P14" s="40" t="b">
        <v>0</v>
      </c>
      <c r="Q14" s="39" t="s">
        <v>269</v>
      </c>
      <c r="S14" s="40" t="b">
        <v>0</v>
      </c>
      <c r="T14" s="453" t="s">
        <v>270</v>
      </c>
    </row>
    <row r="15" spans="1:21" ht="15.95">
      <c r="A15" s="682"/>
      <c r="B15" s="209">
        <f>B14+1</f>
        <v>13</v>
      </c>
      <c r="C15" s="670"/>
      <c r="D15" s="452"/>
      <c r="E15" s="56" t="b">
        <v>0</v>
      </c>
      <c r="F15" s="57" t="s">
        <v>271</v>
      </c>
      <c r="H15" s="40" t="b">
        <v>0</v>
      </c>
      <c r="I15" s="585" t="s">
        <v>272</v>
      </c>
      <c r="J15" s="39"/>
      <c r="K15" s="668"/>
      <c r="L15" s="585"/>
      <c r="N15" s="39"/>
      <c r="P15" s="39"/>
      <c r="Q15" s="41"/>
      <c r="S15" s="662" t="s">
        <v>273</v>
      </c>
      <c r="T15" s="678"/>
    </row>
    <row r="16" spans="1:21">
      <c r="A16" s="682"/>
      <c r="B16" s="209">
        <f>B15+1</f>
        <v>14</v>
      </c>
      <c r="C16" s="670"/>
      <c r="D16" s="452"/>
      <c r="H16" s="39"/>
      <c r="I16" s="585"/>
      <c r="J16" s="39"/>
      <c r="P16" s="40" t="b">
        <v>0</v>
      </c>
      <c r="Q16" s="39" t="s">
        <v>274</v>
      </c>
      <c r="S16" s="40" t="b">
        <v>0</v>
      </c>
      <c r="T16" s="453" t="s">
        <v>275</v>
      </c>
    </row>
    <row r="17" spans="1:20">
      <c r="A17" s="682"/>
      <c r="B17" s="209">
        <f>B16+1</f>
        <v>15</v>
      </c>
      <c r="C17" s="670"/>
      <c r="D17" s="452"/>
      <c r="H17" s="39"/>
      <c r="I17" s="39"/>
      <c r="J17" s="39"/>
      <c r="Q17" s="21" t="s">
        <v>140</v>
      </c>
      <c r="S17" s="40" t="b">
        <v>0</v>
      </c>
      <c r="T17" s="453" t="s">
        <v>276</v>
      </c>
    </row>
    <row r="18" spans="1:20" ht="15" thickBot="1">
      <c r="A18" s="683"/>
      <c r="B18" s="209">
        <f>B17+1</f>
        <v>16</v>
      </c>
      <c r="C18" s="671"/>
      <c r="D18" s="454"/>
      <c r="E18" s="455"/>
      <c r="F18" s="455"/>
      <c r="G18" s="455"/>
      <c r="H18" s="456"/>
      <c r="I18" s="456"/>
      <c r="J18" s="456"/>
      <c r="K18" s="455"/>
      <c r="L18" s="455"/>
      <c r="M18" s="455"/>
      <c r="N18" s="455"/>
      <c r="O18" s="455"/>
      <c r="P18" s="455"/>
      <c r="Q18" s="457"/>
      <c r="R18" s="455"/>
      <c r="S18" s="458" t="b">
        <v>0</v>
      </c>
      <c r="T18" s="459" t="s">
        <v>277</v>
      </c>
    </row>
    <row r="19" spans="1:20" hidden="1">
      <c r="C19" s="260"/>
      <c r="D19" s="189"/>
      <c r="E19" s="189"/>
      <c r="F19" s="189"/>
      <c r="G19" s="189"/>
      <c r="H19" s="189"/>
      <c r="I19" s="189"/>
      <c r="J19" s="189"/>
      <c r="K19" s="189"/>
      <c r="L19" s="189"/>
      <c r="M19" s="189"/>
      <c r="N19" s="189"/>
      <c r="O19" s="189"/>
      <c r="P19" s="189"/>
      <c r="Q19" s="189"/>
      <c r="R19" s="189"/>
      <c r="S19" s="189"/>
      <c r="T19" s="190"/>
    </row>
    <row r="20" spans="1:20" ht="3.6" customHeight="1" thickBot="1">
      <c r="C20" s="260"/>
      <c r="D20" s="197"/>
      <c r="E20" s="197"/>
      <c r="F20" s="197"/>
      <c r="G20" s="197"/>
      <c r="H20" s="197"/>
      <c r="I20" s="197"/>
      <c r="J20" s="197"/>
      <c r="K20" s="197"/>
      <c r="L20" s="197"/>
      <c r="M20" s="197"/>
      <c r="N20" s="197"/>
      <c r="O20" s="197"/>
      <c r="P20" s="197"/>
      <c r="Q20" s="197"/>
      <c r="R20" s="197"/>
      <c r="S20" s="197"/>
      <c r="T20" s="261"/>
    </row>
    <row r="21" spans="1:20" ht="15" hidden="1" thickBot="1">
      <c r="C21" s="260"/>
      <c r="D21" s="197"/>
      <c r="E21" s="197"/>
      <c r="F21" s="197"/>
      <c r="G21" s="197"/>
      <c r="H21" s="197"/>
      <c r="I21" s="197"/>
      <c r="J21" s="197"/>
      <c r="K21" s="197"/>
      <c r="L21" s="197"/>
      <c r="M21" s="197"/>
      <c r="N21" s="197"/>
      <c r="O21" s="197"/>
      <c r="P21" s="197"/>
      <c r="Q21" s="197"/>
      <c r="R21" s="197"/>
      <c r="S21" s="197"/>
      <c r="T21" s="261"/>
    </row>
    <row r="22" spans="1:20" ht="16.5" customHeight="1" thickBot="1">
      <c r="A22" s="559">
        <f>A13+1</f>
        <v>2</v>
      </c>
      <c r="B22" s="474">
        <f>B13+10</f>
        <v>21</v>
      </c>
      <c r="C22" s="669" t="str">
        <f>VLOOKUP(A22,INputs!$G$3:$O$22,9,FALSE)</f>
        <v>Label-General</v>
      </c>
      <c r="D22" s="54"/>
      <c r="E22" s="52" t="b">
        <v>0</v>
      </c>
      <c r="F22" s="53" t="s">
        <v>263</v>
      </c>
      <c r="G22" s="54"/>
      <c r="H22" s="664"/>
      <c r="I22" s="672"/>
      <c r="J22" s="55"/>
      <c r="K22" s="69" t="b">
        <v>0</v>
      </c>
      <c r="L22" s="55" t="s">
        <v>264</v>
      </c>
      <c r="M22" s="54"/>
      <c r="N22" s="413" t="s">
        <v>265</v>
      </c>
      <c r="O22" s="54"/>
      <c r="P22" s="665" t="s">
        <v>266</v>
      </c>
      <c r="Q22" s="665"/>
      <c r="R22" s="54"/>
      <c r="S22" s="666" t="s">
        <v>267</v>
      </c>
      <c r="T22" s="667"/>
    </row>
    <row r="23" spans="1:20" ht="15.95">
      <c r="A23" s="560"/>
      <c r="B23" s="201">
        <f>B22+1</f>
        <v>22</v>
      </c>
      <c r="C23" s="670"/>
      <c r="E23" s="56" t="b">
        <v>0</v>
      </c>
      <c r="F23" s="57" t="s">
        <v>268</v>
      </c>
      <c r="H23" s="39"/>
      <c r="I23" s="579" t="s">
        <v>141</v>
      </c>
      <c r="J23" s="579"/>
      <c r="K23" s="668" t="b">
        <v>0</v>
      </c>
      <c r="L23" s="585" t="s">
        <v>266</v>
      </c>
      <c r="N23" s="35" t="s">
        <v>142</v>
      </c>
      <c r="P23" s="40" t="b">
        <v>0</v>
      </c>
      <c r="Q23" s="39" t="s">
        <v>269</v>
      </c>
      <c r="S23" s="40" t="b">
        <v>0</v>
      </c>
      <c r="T23" s="64" t="s">
        <v>270</v>
      </c>
    </row>
    <row r="24" spans="1:20" ht="15.95">
      <c r="A24" s="560"/>
      <c r="B24" s="201">
        <f>B23+1</f>
        <v>23</v>
      </c>
      <c r="C24" s="670"/>
      <c r="E24" s="56" t="b">
        <v>0</v>
      </c>
      <c r="F24" s="57" t="s">
        <v>271</v>
      </c>
      <c r="H24" s="40" t="b">
        <v>0</v>
      </c>
      <c r="I24" s="585" t="s">
        <v>272</v>
      </c>
      <c r="J24" s="39"/>
      <c r="K24" s="668"/>
      <c r="L24" s="585"/>
      <c r="N24" s="39"/>
      <c r="P24" s="39"/>
      <c r="Q24" s="41"/>
      <c r="S24" s="662" t="s">
        <v>273</v>
      </c>
      <c r="T24" s="663"/>
    </row>
    <row r="25" spans="1:20">
      <c r="A25" s="560"/>
      <c r="B25" s="201">
        <f>B24+1</f>
        <v>24</v>
      </c>
      <c r="C25" s="670"/>
      <c r="H25" s="39"/>
      <c r="I25" s="585"/>
      <c r="J25" s="39"/>
      <c r="P25" s="40" t="b">
        <v>0</v>
      </c>
      <c r="Q25" s="39" t="s">
        <v>274</v>
      </c>
      <c r="S25" s="40" t="b">
        <v>0</v>
      </c>
      <c r="T25" s="64" t="s">
        <v>275</v>
      </c>
    </row>
    <row r="26" spans="1:20">
      <c r="A26" s="560"/>
      <c r="B26" s="201">
        <f>B25+1</f>
        <v>25</v>
      </c>
      <c r="C26" s="670"/>
      <c r="H26" s="39"/>
      <c r="I26" s="39"/>
      <c r="J26" s="39"/>
      <c r="Q26" s="21" t="s">
        <v>140</v>
      </c>
      <c r="S26" s="40" t="b">
        <v>0</v>
      </c>
      <c r="T26" s="64" t="s">
        <v>276</v>
      </c>
    </row>
    <row r="27" spans="1:20" ht="15" thickBot="1">
      <c r="A27" s="561"/>
      <c r="B27" s="201">
        <f>B26+1</f>
        <v>26</v>
      </c>
      <c r="C27" s="671"/>
      <c r="D27" s="59"/>
      <c r="E27" s="59"/>
      <c r="F27" s="59"/>
      <c r="G27" s="59"/>
      <c r="H27" s="66"/>
      <c r="I27" s="66"/>
      <c r="J27" s="66"/>
      <c r="K27" s="59"/>
      <c r="L27" s="59"/>
      <c r="M27" s="59"/>
      <c r="N27" s="59"/>
      <c r="O27" s="59"/>
      <c r="P27" s="59"/>
      <c r="Q27" s="60"/>
      <c r="R27" s="59"/>
      <c r="S27" s="108" t="b">
        <v>0</v>
      </c>
      <c r="T27" s="109" t="s">
        <v>277</v>
      </c>
    </row>
    <row r="28" spans="1:20" ht="15" hidden="1" thickBot="1">
      <c r="C28" s="260"/>
      <c r="D28" s="197"/>
      <c r="E28" s="197"/>
      <c r="F28" s="197"/>
      <c r="G28" s="197"/>
      <c r="H28" s="197"/>
      <c r="I28" s="197"/>
      <c r="J28" s="197"/>
      <c r="K28" s="197"/>
      <c r="L28" s="197"/>
      <c r="M28" s="197"/>
      <c r="N28" s="197"/>
      <c r="O28" s="197"/>
      <c r="P28" s="197"/>
      <c r="Q28" s="197"/>
      <c r="R28" s="197"/>
      <c r="S28" s="197"/>
      <c r="T28" s="261"/>
    </row>
    <row r="29" spans="1:20" ht="3.6" customHeight="1" thickBot="1">
      <c r="C29" s="260"/>
      <c r="D29" s="197"/>
      <c r="E29" s="197"/>
      <c r="F29" s="197"/>
      <c r="G29" s="197"/>
      <c r="H29" s="197"/>
      <c r="I29" s="197"/>
      <c r="J29" s="197"/>
      <c r="K29" s="197"/>
      <c r="L29" s="197"/>
      <c r="M29" s="197"/>
      <c r="N29" s="197"/>
      <c r="O29" s="197"/>
      <c r="P29" s="197"/>
      <c r="Q29" s="197"/>
      <c r="R29" s="197"/>
      <c r="S29" s="197"/>
      <c r="T29" s="261"/>
    </row>
    <row r="30" spans="1:20" ht="15" hidden="1" thickBot="1">
      <c r="C30" s="260"/>
      <c r="D30" s="197"/>
      <c r="E30" s="197"/>
      <c r="F30" s="197"/>
      <c r="G30" s="197"/>
      <c r="H30" s="197"/>
      <c r="I30" s="197"/>
      <c r="J30" s="197"/>
      <c r="K30" s="197"/>
      <c r="L30" s="197"/>
      <c r="M30" s="197"/>
      <c r="N30" s="197"/>
      <c r="O30" s="197"/>
      <c r="P30" s="197"/>
      <c r="Q30" s="197"/>
      <c r="R30" s="197"/>
      <c r="S30" s="197"/>
      <c r="T30" s="261"/>
    </row>
    <row r="31" spans="1:20" ht="16.5" customHeight="1" thickBot="1">
      <c r="A31" s="559">
        <f>A22+1</f>
        <v>3</v>
      </c>
      <c r="B31" s="474">
        <f>B22+10</f>
        <v>31</v>
      </c>
      <c r="C31" s="669" t="str">
        <f>VLOOKUP(A31,INputs!$G$3:$O$22,9,FALSE)</f>
        <v>Parent Label-Confidential</v>
      </c>
      <c r="D31" s="54"/>
      <c r="E31" s="52" t="b">
        <v>0</v>
      </c>
      <c r="F31" s="53" t="s">
        <v>263</v>
      </c>
      <c r="G31" s="54"/>
      <c r="H31" s="664"/>
      <c r="I31" s="664"/>
      <c r="J31" s="55"/>
      <c r="K31" s="69" t="b">
        <v>0</v>
      </c>
      <c r="L31" s="55" t="s">
        <v>264</v>
      </c>
      <c r="M31" s="54"/>
      <c r="N31" s="413" t="s">
        <v>265</v>
      </c>
      <c r="O31" s="54"/>
      <c r="P31" s="665" t="s">
        <v>266</v>
      </c>
      <c r="Q31" s="665"/>
      <c r="R31" s="54"/>
      <c r="S31" s="666" t="s">
        <v>267</v>
      </c>
      <c r="T31" s="667"/>
    </row>
    <row r="32" spans="1:20" ht="15.95">
      <c r="A32" s="560"/>
      <c r="B32" s="201">
        <f>B31+1</f>
        <v>32</v>
      </c>
      <c r="C32" s="670"/>
      <c r="E32" s="56" t="b">
        <v>0</v>
      </c>
      <c r="F32" s="57" t="s">
        <v>268</v>
      </c>
      <c r="H32" s="39"/>
      <c r="I32" s="579" t="s">
        <v>141</v>
      </c>
      <c r="J32" s="579"/>
      <c r="K32" s="668" t="b">
        <v>0</v>
      </c>
      <c r="L32" s="585" t="s">
        <v>266</v>
      </c>
      <c r="N32" s="35" t="s">
        <v>142</v>
      </c>
      <c r="P32" s="40" t="b">
        <v>0</v>
      </c>
      <c r="Q32" s="39" t="s">
        <v>269</v>
      </c>
      <c r="S32" s="40" t="b">
        <v>0</v>
      </c>
      <c r="T32" s="64" t="s">
        <v>270</v>
      </c>
    </row>
    <row r="33" spans="1:20" ht="15.95">
      <c r="A33" s="560"/>
      <c r="B33" s="201">
        <f>B32+1</f>
        <v>33</v>
      </c>
      <c r="C33" s="670"/>
      <c r="E33" s="56" t="b">
        <v>0</v>
      </c>
      <c r="F33" s="57" t="s">
        <v>271</v>
      </c>
      <c r="H33" s="40" t="b">
        <v>0</v>
      </c>
      <c r="I33" s="585" t="s">
        <v>272</v>
      </c>
      <c r="J33" s="39"/>
      <c r="K33" s="668"/>
      <c r="L33" s="585"/>
      <c r="N33" s="39"/>
      <c r="P33" s="39"/>
      <c r="Q33" s="41"/>
      <c r="S33" s="662" t="s">
        <v>273</v>
      </c>
      <c r="T33" s="663"/>
    </row>
    <row r="34" spans="1:20">
      <c r="A34" s="560"/>
      <c r="B34" s="201">
        <f>B33+1</f>
        <v>34</v>
      </c>
      <c r="C34" s="670"/>
      <c r="H34" s="39"/>
      <c r="I34" s="585"/>
      <c r="J34" s="39"/>
      <c r="P34" s="40" t="b">
        <v>0</v>
      </c>
      <c r="Q34" s="39" t="s">
        <v>274</v>
      </c>
      <c r="S34" s="40" t="b">
        <v>0</v>
      </c>
      <c r="T34" s="64" t="s">
        <v>275</v>
      </c>
    </row>
    <row r="35" spans="1:20">
      <c r="A35" s="560"/>
      <c r="B35" s="201">
        <f>B34+1</f>
        <v>35</v>
      </c>
      <c r="C35" s="670"/>
      <c r="H35" s="39"/>
      <c r="I35" s="39"/>
      <c r="J35" s="39"/>
      <c r="Q35" s="21" t="s">
        <v>140</v>
      </c>
      <c r="S35" s="40" t="b">
        <v>0</v>
      </c>
      <c r="T35" s="64" t="s">
        <v>276</v>
      </c>
    </row>
    <row r="36" spans="1:20" ht="15" thickBot="1">
      <c r="A36" s="561"/>
      <c r="B36" s="201">
        <f>B35+1</f>
        <v>36</v>
      </c>
      <c r="C36" s="671"/>
      <c r="D36" s="59"/>
      <c r="E36" s="59"/>
      <c r="F36" s="59"/>
      <c r="G36" s="59"/>
      <c r="H36" s="66"/>
      <c r="I36" s="66"/>
      <c r="J36" s="66"/>
      <c r="K36" s="59"/>
      <c r="L36" s="59"/>
      <c r="M36" s="59"/>
      <c r="N36" s="59"/>
      <c r="O36" s="59"/>
      <c r="P36" s="59"/>
      <c r="Q36" s="60"/>
      <c r="R36" s="59"/>
      <c r="S36" s="108" t="b">
        <v>0</v>
      </c>
      <c r="T36" s="109" t="s">
        <v>277</v>
      </c>
    </row>
    <row r="37" spans="1:20" ht="15" hidden="1" thickBot="1">
      <c r="C37" s="260"/>
      <c r="D37" s="197"/>
      <c r="E37" s="197"/>
      <c r="F37" s="197"/>
      <c r="G37" s="197"/>
      <c r="H37" s="197"/>
      <c r="I37" s="197"/>
      <c r="J37" s="197"/>
      <c r="K37" s="197"/>
      <c r="L37" s="197"/>
      <c r="M37" s="197"/>
      <c r="N37" s="197"/>
      <c r="O37" s="197"/>
      <c r="P37" s="197"/>
      <c r="Q37" s="197"/>
      <c r="R37" s="197"/>
      <c r="S37" s="197"/>
      <c r="T37" s="261"/>
    </row>
    <row r="38" spans="1:20" ht="3.6" customHeight="1" thickBot="1">
      <c r="C38" s="260"/>
      <c r="D38" s="197"/>
      <c r="E38" s="197"/>
      <c r="F38" s="197"/>
      <c r="G38" s="197"/>
      <c r="H38" s="197"/>
      <c r="I38" s="197"/>
      <c r="J38" s="197"/>
      <c r="K38" s="197"/>
      <c r="L38" s="197"/>
      <c r="M38" s="197"/>
      <c r="N38" s="197"/>
      <c r="O38" s="197"/>
      <c r="P38" s="197"/>
      <c r="Q38" s="197"/>
      <c r="R38" s="197"/>
      <c r="S38" s="197"/>
      <c r="T38" s="261"/>
    </row>
    <row r="39" spans="1:20" ht="15" hidden="1" thickBot="1">
      <c r="C39" s="260"/>
      <c r="D39" s="197"/>
      <c r="E39" s="197"/>
      <c r="F39" s="197"/>
      <c r="G39" s="197"/>
      <c r="H39" s="197"/>
      <c r="I39" s="197"/>
      <c r="J39" s="197"/>
      <c r="K39" s="197"/>
      <c r="L39" s="197"/>
      <c r="M39" s="197"/>
      <c r="N39" s="197"/>
      <c r="O39" s="197"/>
      <c r="P39" s="197"/>
      <c r="Q39" s="197"/>
      <c r="R39" s="197"/>
      <c r="S39" s="197"/>
      <c r="T39" s="261"/>
    </row>
    <row r="40" spans="1:20" ht="16.5" thickBot="1">
      <c r="A40" s="559">
        <f>A31+1</f>
        <v>4</v>
      </c>
      <c r="B40" s="474">
        <f>B31+10</f>
        <v>41</v>
      </c>
      <c r="C40" s="669" t="str">
        <f>VLOOKUP(A40,INputs!$G$3:$O$22,9,FALSE)</f>
        <v>Sub Label-All Employees</v>
      </c>
      <c r="E40" s="56" t="b">
        <v>1</v>
      </c>
      <c r="F40" s="57" t="s">
        <v>263</v>
      </c>
      <c r="H40" s="672" t="s">
        <v>41</v>
      </c>
      <c r="I40" s="672"/>
      <c r="J40" s="39"/>
      <c r="K40" s="40" t="b">
        <v>1</v>
      </c>
      <c r="L40" s="39" t="s">
        <v>264</v>
      </c>
      <c r="M40" s="54"/>
      <c r="N40" s="413" t="s">
        <v>265</v>
      </c>
      <c r="O40" s="54"/>
      <c r="P40" s="673" t="s">
        <v>266</v>
      </c>
      <c r="Q40" s="673"/>
      <c r="S40" s="662" t="s">
        <v>267</v>
      </c>
      <c r="T40" s="663"/>
    </row>
    <row r="41" spans="1:20" ht="15.95">
      <c r="A41" s="560"/>
      <c r="B41" s="201">
        <f>B40+1</f>
        <v>42</v>
      </c>
      <c r="C41" s="670"/>
      <c r="E41" s="56" t="b">
        <v>1</v>
      </c>
      <c r="F41" s="57" t="s">
        <v>268</v>
      </c>
      <c r="H41" s="39"/>
      <c r="I41" s="579" t="s">
        <v>141</v>
      </c>
      <c r="J41" s="579"/>
      <c r="K41" s="668" t="b">
        <v>1</v>
      </c>
      <c r="L41" s="585" t="s">
        <v>266</v>
      </c>
      <c r="N41" s="35" t="s">
        <v>142</v>
      </c>
      <c r="P41" s="40" t="b">
        <v>1</v>
      </c>
      <c r="Q41" s="39" t="s">
        <v>269</v>
      </c>
      <c r="S41" s="40" t="b">
        <v>0</v>
      </c>
      <c r="T41" s="64" t="s">
        <v>270</v>
      </c>
    </row>
    <row r="42" spans="1:20" ht="15.95">
      <c r="A42" s="560"/>
      <c r="B42" s="201">
        <f>B41+1</f>
        <v>43</v>
      </c>
      <c r="C42" s="670"/>
      <c r="E42" s="56" t="b">
        <v>0</v>
      </c>
      <c r="F42" s="57" t="s">
        <v>271</v>
      </c>
      <c r="H42" s="40" t="b">
        <v>0</v>
      </c>
      <c r="I42" s="585" t="s">
        <v>272</v>
      </c>
      <c r="J42" s="39"/>
      <c r="K42" s="668"/>
      <c r="L42" s="675"/>
      <c r="N42" s="39" t="s">
        <v>61</v>
      </c>
      <c r="P42" s="39"/>
      <c r="Q42" s="41" t="s">
        <v>43</v>
      </c>
      <c r="S42" s="662" t="s">
        <v>273</v>
      </c>
      <c r="T42" s="663"/>
    </row>
    <row r="43" spans="1:20">
      <c r="A43" s="560"/>
      <c r="B43" s="201">
        <f>B42+1</f>
        <v>44</v>
      </c>
      <c r="C43" s="670"/>
      <c r="H43" s="39"/>
      <c r="I43" s="585"/>
      <c r="J43" s="39"/>
      <c r="P43" s="40" t="b">
        <v>0</v>
      </c>
      <c r="Q43" s="39" t="s">
        <v>274</v>
      </c>
      <c r="S43" s="40" t="b">
        <v>0</v>
      </c>
      <c r="T43" s="64" t="s">
        <v>275</v>
      </c>
    </row>
    <row r="44" spans="1:20">
      <c r="A44" s="560"/>
      <c r="B44" s="201">
        <f>B43+1</f>
        <v>45</v>
      </c>
      <c r="C44" s="670"/>
      <c r="H44" s="39"/>
      <c r="I44" s="39"/>
      <c r="J44" s="39"/>
      <c r="Q44" s="21" t="s">
        <v>140</v>
      </c>
      <c r="S44" s="40" t="b">
        <v>0</v>
      </c>
      <c r="T44" s="64" t="s">
        <v>276</v>
      </c>
    </row>
    <row r="45" spans="1:20" ht="15" thickBot="1">
      <c r="A45" s="561"/>
      <c r="B45" s="201">
        <f>B44+1</f>
        <v>46</v>
      </c>
      <c r="C45" s="671"/>
      <c r="D45" s="59"/>
      <c r="E45" s="59"/>
      <c r="F45" s="59"/>
      <c r="G45" s="59"/>
      <c r="H45" s="66"/>
      <c r="I45" s="66"/>
      <c r="J45" s="66"/>
      <c r="K45" s="59"/>
      <c r="L45" s="59"/>
      <c r="M45" s="59"/>
      <c r="N45" s="59"/>
      <c r="O45" s="59"/>
      <c r="P45" s="59"/>
      <c r="Q45" s="60"/>
      <c r="R45" s="59"/>
      <c r="S45" s="108" t="b">
        <v>0</v>
      </c>
      <c r="T45" s="109" t="s">
        <v>277</v>
      </c>
    </row>
    <row r="46" spans="1:20" ht="15" hidden="1" thickBot="1">
      <c r="C46" s="260"/>
      <c r="D46" s="197"/>
      <c r="E46" s="197"/>
      <c r="F46" s="197"/>
      <c r="G46" s="197"/>
      <c r="H46" s="197"/>
      <c r="I46" s="197"/>
      <c r="J46" s="197"/>
      <c r="K46" s="197"/>
      <c r="L46" s="197"/>
      <c r="M46" s="197"/>
      <c r="N46" s="197"/>
      <c r="O46" s="197"/>
      <c r="P46" s="197"/>
      <c r="Q46" s="197"/>
      <c r="R46" s="197"/>
      <c r="S46" s="197"/>
      <c r="T46" s="261"/>
    </row>
    <row r="47" spans="1:20" ht="3.6" customHeight="1" thickBot="1">
      <c r="C47" s="260"/>
      <c r="D47" s="197"/>
      <c r="E47" s="197"/>
      <c r="F47" s="197"/>
      <c r="G47" s="197"/>
      <c r="H47" s="197"/>
      <c r="I47" s="197"/>
      <c r="J47" s="197"/>
      <c r="K47" s="197"/>
      <c r="L47" s="197"/>
      <c r="M47" s="197"/>
      <c r="N47" s="197"/>
      <c r="O47" s="197"/>
      <c r="P47" s="197"/>
      <c r="Q47" s="197"/>
      <c r="R47" s="197"/>
      <c r="S47" s="197"/>
      <c r="T47" s="261"/>
    </row>
    <row r="48" spans="1:20" ht="15" hidden="1" thickBot="1">
      <c r="C48" s="260"/>
      <c r="D48" s="197"/>
      <c r="E48" s="197"/>
      <c r="F48" s="197"/>
      <c r="G48" s="197"/>
      <c r="H48" s="197"/>
      <c r="I48" s="197"/>
      <c r="J48" s="197"/>
      <c r="K48" s="197"/>
      <c r="L48" s="197"/>
      <c r="M48" s="197"/>
      <c r="N48" s="197"/>
      <c r="O48" s="197"/>
      <c r="P48" s="197"/>
      <c r="Q48" s="197"/>
      <c r="R48" s="197"/>
      <c r="S48" s="197"/>
      <c r="T48" s="261"/>
    </row>
    <row r="49" spans="1:20" ht="16.5" thickBot="1">
      <c r="A49" s="559">
        <f>A40+1</f>
        <v>5</v>
      </c>
      <c r="B49" s="474">
        <f>B40+10</f>
        <v>51</v>
      </c>
      <c r="C49" s="669" t="str">
        <f>VLOOKUP(A49,INputs!$G$3:$O$22,9,FALSE)</f>
        <v>Sub Label-Specific People</v>
      </c>
      <c r="D49" s="54"/>
      <c r="E49" s="52" t="b">
        <v>1</v>
      </c>
      <c r="F49" s="53" t="s">
        <v>263</v>
      </c>
      <c r="G49" s="54"/>
      <c r="H49" s="664" t="s">
        <v>41</v>
      </c>
      <c r="I49" s="664"/>
      <c r="J49" s="55"/>
      <c r="K49" s="69" t="b">
        <v>1</v>
      </c>
      <c r="L49" s="55" t="s">
        <v>264</v>
      </c>
      <c r="M49" s="54"/>
      <c r="N49" s="413" t="s">
        <v>265</v>
      </c>
      <c r="O49" s="54"/>
      <c r="P49" s="665" t="s">
        <v>266</v>
      </c>
      <c r="Q49" s="665"/>
      <c r="R49" s="54"/>
      <c r="S49" s="666" t="s">
        <v>267</v>
      </c>
      <c r="T49" s="667"/>
    </row>
    <row r="50" spans="1:20" ht="15.95">
      <c r="A50" s="560"/>
      <c r="B50" s="201">
        <f>B49+1</f>
        <v>52</v>
      </c>
      <c r="C50" s="670"/>
      <c r="E50" s="56" t="b">
        <v>1</v>
      </c>
      <c r="F50" s="57" t="s">
        <v>268</v>
      </c>
      <c r="H50" s="39"/>
      <c r="I50" s="579" t="s">
        <v>141</v>
      </c>
      <c r="J50" s="579"/>
      <c r="K50" s="668" t="b">
        <v>1</v>
      </c>
      <c r="L50" s="585" t="s">
        <v>266</v>
      </c>
      <c r="N50" s="35" t="s">
        <v>142</v>
      </c>
      <c r="P50" s="40" t="b">
        <v>1</v>
      </c>
      <c r="Q50" s="39" t="s">
        <v>269</v>
      </c>
      <c r="S50" s="40" t="b">
        <v>0</v>
      </c>
      <c r="T50" s="64" t="s">
        <v>270</v>
      </c>
    </row>
    <row r="51" spans="1:20" ht="15.95">
      <c r="A51" s="560"/>
      <c r="B51" s="201">
        <f>B50+1</f>
        <v>53</v>
      </c>
      <c r="C51" s="670"/>
      <c r="E51" s="56" t="b">
        <v>0</v>
      </c>
      <c r="F51" s="57" t="s">
        <v>271</v>
      </c>
      <c r="H51" s="40" t="b">
        <v>1</v>
      </c>
      <c r="I51" s="585" t="s">
        <v>272</v>
      </c>
      <c r="J51" s="39"/>
      <c r="K51" s="668"/>
      <c r="L51" s="585"/>
      <c r="N51" s="39" t="s">
        <v>42</v>
      </c>
      <c r="P51" s="39"/>
      <c r="Q51" s="41" t="s">
        <v>43</v>
      </c>
      <c r="S51" s="662" t="s">
        <v>273</v>
      </c>
      <c r="T51" s="663"/>
    </row>
    <row r="52" spans="1:20">
      <c r="A52" s="560"/>
      <c r="B52" s="201">
        <f>B51+1</f>
        <v>54</v>
      </c>
      <c r="C52" s="670"/>
      <c r="H52" s="39"/>
      <c r="I52" s="585"/>
      <c r="J52" s="39"/>
      <c r="P52" s="40" t="b">
        <v>0</v>
      </c>
      <c r="Q52" s="39" t="s">
        <v>274</v>
      </c>
      <c r="S52" s="40" t="b">
        <v>0</v>
      </c>
      <c r="T52" s="64" t="s">
        <v>275</v>
      </c>
    </row>
    <row r="53" spans="1:20">
      <c r="A53" s="560"/>
      <c r="B53" s="201">
        <f>B52+1</f>
        <v>55</v>
      </c>
      <c r="C53" s="670"/>
      <c r="H53" s="39"/>
      <c r="I53" s="39"/>
      <c r="J53" s="39"/>
      <c r="Q53" s="21" t="s">
        <v>140</v>
      </c>
      <c r="S53" s="40" t="b">
        <v>0</v>
      </c>
      <c r="T53" s="64" t="s">
        <v>276</v>
      </c>
    </row>
    <row r="54" spans="1:20" ht="15" thickBot="1">
      <c r="A54" s="561"/>
      <c r="B54" s="201">
        <f>B53+1</f>
        <v>56</v>
      </c>
      <c r="C54" s="671"/>
      <c r="D54" s="59"/>
      <c r="E54" s="59"/>
      <c r="F54" s="59"/>
      <c r="G54" s="59"/>
      <c r="H54" s="66"/>
      <c r="I54" s="66"/>
      <c r="J54" s="66"/>
      <c r="K54" s="59"/>
      <c r="L54" s="59"/>
      <c r="M54" s="59"/>
      <c r="N54" s="59"/>
      <c r="O54" s="59"/>
      <c r="P54" s="59"/>
      <c r="Q54" s="60"/>
      <c r="R54" s="59"/>
      <c r="S54" s="108" t="b">
        <v>0</v>
      </c>
      <c r="T54" s="109" t="s">
        <v>277</v>
      </c>
    </row>
    <row r="55" spans="1:20" ht="15" hidden="1" thickBot="1">
      <c r="C55" s="260"/>
      <c r="D55" s="197"/>
      <c r="E55" s="197"/>
      <c r="F55" s="197"/>
      <c r="G55" s="197"/>
      <c r="H55" s="197"/>
      <c r="I55" s="197"/>
      <c r="J55" s="197"/>
      <c r="K55" s="197"/>
      <c r="L55" s="197"/>
      <c r="M55" s="197"/>
      <c r="N55" s="197"/>
      <c r="O55" s="197"/>
      <c r="P55" s="197"/>
      <c r="Q55" s="197"/>
      <c r="R55" s="197"/>
      <c r="S55" s="197"/>
      <c r="T55" s="261"/>
    </row>
    <row r="56" spans="1:20" ht="3.6" customHeight="1" thickBot="1">
      <c r="C56" s="260"/>
      <c r="D56" s="197"/>
      <c r="E56" s="197"/>
      <c r="F56" s="197"/>
      <c r="G56" s="197"/>
      <c r="H56" s="197"/>
      <c r="I56" s="197"/>
      <c r="J56" s="197"/>
      <c r="K56" s="197"/>
      <c r="L56" s="197"/>
      <c r="M56" s="197"/>
      <c r="N56" s="197"/>
      <c r="O56" s="197"/>
      <c r="P56" s="197"/>
      <c r="Q56" s="197"/>
      <c r="R56" s="197"/>
      <c r="S56" s="197"/>
      <c r="T56" s="261"/>
    </row>
    <row r="57" spans="1:20" ht="15" hidden="1" thickBot="1">
      <c r="C57" s="260"/>
      <c r="D57" s="197"/>
      <c r="E57" s="197"/>
      <c r="F57" s="197"/>
      <c r="G57" s="197"/>
      <c r="H57" s="197"/>
      <c r="I57" s="197"/>
      <c r="J57" s="197"/>
      <c r="K57" s="197"/>
      <c r="L57" s="197"/>
      <c r="M57" s="197"/>
      <c r="N57" s="197"/>
      <c r="O57" s="197"/>
      <c r="P57" s="197"/>
      <c r="Q57" s="197"/>
      <c r="R57" s="197"/>
      <c r="S57" s="197"/>
      <c r="T57" s="261"/>
    </row>
    <row r="58" spans="1:20" ht="16.5" thickBot="1">
      <c r="A58" s="559">
        <f>A49+1</f>
        <v>6</v>
      </c>
      <c r="B58" s="474">
        <f>B49+10</f>
        <v>61</v>
      </c>
      <c r="C58" s="669" t="str">
        <f>VLOOKUP(A58,INputs!$G$3:$O$22,9,FALSE)</f>
        <v>Sub Label-Internal exception</v>
      </c>
      <c r="D58" s="54"/>
      <c r="E58" s="52" t="b">
        <v>0</v>
      </c>
      <c r="F58" s="53" t="s">
        <v>263</v>
      </c>
      <c r="G58" s="54"/>
      <c r="H58" s="664"/>
      <c r="I58" s="664"/>
      <c r="J58" s="55"/>
      <c r="K58" s="69" t="b">
        <v>0</v>
      </c>
      <c r="L58" s="55" t="s">
        <v>264</v>
      </c>
      <c r="M58" s="54"/>
      <c r="N58" s="413" t="s">
        <v>265</v>
      </c>
      <c r="O58" s="54"/>
      <c r="P58" s="665" t="s">
        <v>266</v>
      </c>
      <c r="Q58" s="665"/>
      <c r="R58" s="54"/>
      <c r="S58" s="666" t="s">
        <v>267</v>
      </c>
      <c r="T58" s="667"/>
    </row>
    <row r="59" spans="1:20" ht="15.95">
      <c r="A59" s="560"/>
      <c r="B59" s="201">
        <f>B58+1</f>
        <v>62</v>
      </c>
      <c r="C59" s="670"/>
      <c r="E59" s="56" t="b">
        <v>0</v>
      </c>
      <c r="F59" s="57" t="s">
        <v>268</v>
      </c>
      <c r="H59" s="39"/>
      <c r="I59" s="579" t="s">
        <v>141</v>
      </c>
      <c r="J59" s="579"/>
      <c r="K59" s="668" t="b">
        <v>0</v>
      </c>
      <c r="L59" s="585" t="s">
        <v>266</v>
      </c>
      <c r="N59" s="35" t="s">
        <v>142</v>
      </c>
      <c r="P59" s="40" t="b">
        <v>0</v>
      </c>
      <c r="Q59" s="39" t="s">
        <v>269</v>
      </c>
      <c r="S59" s="40" t="b">
        <v>0</v>
      </c>
      <c r="T59" s="64" t="s">
        <v>270</v>
      </c>
    </row>
    <row r="60" spans="1:20" ht="15.95">
      <c r="A60" s="560"/>
      <c r="B60" s="201">
        <f>B59+1</f>
        <v>63</v>
      </c>
      <c r="C60" s="670"/>
      <c r="E60" s="56" t="b">
        <v>0</v>
      </c>
      <c r="F60" s="57" t="s">
        <v>271</v>
      </c>
      <c r="H60" s="40" t="b">
        <v>0</v>
      </c>
      <c r="I60" s="585" t="s">
        <v>272</v>
      </c>
      <c r="J60" s="39"/>
      <c r="K60" s="668"/>
      <c r="L60" s="585"/>
      <c r="N60" s="39"/>
      <c r="P60" s="39"/>
      <c r="Q60" s="41"/>
      <c r="S60" s="662" t="s">
        <v>273</v>
      </c>
      <c r="T60" s="663"/>
    </row>
    <row r="61" spans="1:20">
      <c r="A61" s="560"/>
      <c r="B61" s="201">
        <f>B60+1</f>
        <v>64</v>
      </c>
      <c r="C61" s="670"/>
      <c r="H61" s="39"/>
      <c r="I61" s="585"/>
      <c r="J61" s="39"/>
      <c r="P61" s="40" t="b">
        <v>0</v>
      </c>
      <c r="Q61" s="39" t="s">
        <v>274</v>
      </c>
      <c r="S61" s="40" t="b">
        <v>0</v>
      </c>
      <c r="T61" s="64" t="s">
        <v>275</v>
      </c>
    </row>
    <row r="62" spans="1:20">
      <c r="A62" s="560"/>
      <c r="B62" s="201">
        <f>B61+1</f>
        <v>65</v>
      </c>
      <c r="C62" s="670"/>
      <c r="H62" s="39"/>
      <c r="I62" s="39"/>
      <c r="J62" s="39"/>
      <c r="Q62" s="21" t="s">
        <v>140</v>
      </c>
      <c r="S62" s="40" t="b">
        <v>0</v>
      </c>
      <c r="T62" s="64" t="s">
        <v>276</v>
      </c>
    </row>
    <row r="63" spans="1:20" ht="15" thickBot="1">
      <c r="A63" s="561"/>
      <c r="B63" s="201">
        <f>B62+1</f>
        <v>66</v>
      </c>
      <c r="C63" s="671"/>
      <c r="D63" s="59"/>
      <c r="E63" s="59"/>
      <c r="F63" s="59"/>
      <c r="G63" s="59"/>
      <c r="H63" s="66"/>
      <c r="I63" s="66"/>
      <c r="J63" s="66"/>
      <c r="K63" s="59"/>
      <c r="L63" s="59"/>
      <c r="M63" s="59"/>
      <c r="N63" s="59"/>
      <c r="O63" s="59"/>
      <c r="P63" s="59"/>
      <c r="Q63" s="60"/>
      <c r="R63" s="59"/>
      <c r="S63" s="108" t="b">
        <v>0</v>
      </c>
      <c r="T63" s="109" t="s">
        <v>277</v>
      </c>
    </row>
    <row r="64" spans="1:20" ht="15" hidden="1" thickBot="1">
      <c r="C64" s="260"/>
      <c r="D64" s="197"/>
      <c r="E64" s="197"/>
      <c r="F64" s="197"/>
      <c r="G64" s="197"/>
      <c r="H64" s="197"/>
      <c r="I64" s="197"/>
      <c r="J64" s="197"/>
      <c r="K64" s="197"/>
      <c r="L64" s="197"/>
      <c r="M64" s="197"/>
      <c r="N64" s="197"/>
      <c r="O64" s="197"/>
      <c r="P64" s="197"/>
      <c r="Q64" s="197"/>
      <c r="R64" s="197"/>
      <c r="S64" s="197"/>
      <c r="T64" s="261"/>
    </row>
    <row r="65" spans="1:20" ht="3.6" customHeight="1" thickBot="1">
      <c r="C65" s="260"/>
      <c r="D65" s="197"/>
      <c r="E65" s="197"/>
      <c r="F65" s="197"/>
      <c r="G65" s="197"/>
      <c r="H65" s="197"/>
      <c r="I65" s="197"/>
      <c r="J65" s="197"/>
      <c r="K65" s="197"/>
      <c r="L65" s="197"/>
      <c r="M65" s="197"/>
      <c r="N65" s="197"/>
      <c r="O65" s="197"/>
      <c r="P65" s="197"/>
      <c r="Q65" s="197"/>
      <c r="R65" s="197"/>
      <c r="S65" s="197"/>
      <c r="T65" s="261"/>
    </row>
    <row r="66" spans="1:20" ht="15" hidden="1" thickBot="1">
      <c r="C66" s="260"/>
      <c r="D66" s="197"/>
      <c r="E66" s="197"/>
      <c r="F66" s="197"/>
      <c r="G66" s="197"/>
      <c r="H66" s="197"/>
      <c r="I66" s="197"/>
      <c r="J66" s="197"/>
      <c r="K66" s="197"/>
      <c r="L66" s="197"/>
      <c r="M66" s="197"/>
      <c r="N66" s="197"/>
      <c r="O66" s="197"/>
      <c r="P66" s="197"/>
      <c r="Q66" s="197"/>
      <c r="R66" s="197"/>
      <c r="S66" s="197"/>
      <c r="T66" s="261"/>
    </row>
    <row r="67" spans="1:20" ht="16.5" thickBot="1">
      <c r="A67" s="559">
        <f>A58+1</f>
        <v>7</v>
      </c>
      <c r="B67" s="474">
        <f>B58+10</f>
        <v>71</v>
      </c>
      <c r="C67" s="669" t="str">
        <f>VLOOKUP(A67,INputs!$G$3:$O$22,9,FALSE)</f>
        <v>Parent Label-Highly Confidential</v>
      </c>
      <c r="D67" s="54"/>
      <c r="E67" s="52" t="b">
        <v>0</v>
      </c>
      <c r="F67" s="53" t="s">
        <v>263</v>
      </c>
      <c r="G67" s="54"/>
      <c r="H67" s="664" t="s">
        <v>52</v>
      </c>
      <c r="I67" s="664"/>
      <c r="J67" s="55"/>
      <c r="K67" s="69" t="b">
        <v>0</v>
      </c>
      <c r="L67" s="55" t="s">
        <v>264</v>
      </c>
      <c r="M67" s="54"/>
      <c r="N67" s="413" t="s">
        <v>265</v>
      </c>
      <c r="O67" s="54"/>
      <c r="P67" s="665" t="s">
        <v>266</v>
      </c>
      <c r="Q67" s="665"/>
      <c r="R67" s="54"/>
      <c r="S67" s="666" t="s">
        <v>267</v>
      </c>
      <c r="T67" s="667"/>
    </row>
    <row r="68" spans="1:20" ht="15.95">
      <c r="A68" s="560"/>
      <c r="B68" s="201">
        <f>B67+1</f>
        <v>72</v>
      </c>
      <c r="C68" s="670"/>
      <c r="E68" s="56" t="b">
        <v>0</v>
      </c>
      <c r="F68" s="57" t="s">
        <v>268</v>
      </c>
      <c r="H68" s="39"/>
      <c r="I68" s="579" t="s">
        <v>141</v>
      </c>
      <c r="J68" s="579"/>
      <c r="K68" s="668" t="b">
        <v>0</v>
      </c>
      <c r="L68" s="585" t="s">
        <v>266</v>
      </c>
      <c r="N68" s="35" t="s">
        <v>142</v>
      </c>
      <c r="P68" s="40" t="b">
        <v>0</v>
      </c>
      <c r="Q68" s="39" t="s">
        <v>269</v>
      </c>
      <c r="S68" s="40" t="b">
        <v>0</v>
      </c>
      <c r="T68" s="64" t="s">
        <v>270</v>
      </c>
    </row>
    <row r="69" spans="1:20" ht="15.95">
      <c r="A69" s="560"/>
      <c r="B69" s="201">
        <f>B68+1</f>
        <v>73</v>
      </c>
      <c r="C69" s="670"/>
      <c r="E69" s="56" t="b">
        <v>0</v>
      </c>
      <c r="F69" s="57" t="s">
        <v>271</v>
      </c>
      <c r="H69" s="40" t="b">
        <v>0</v>
      </c>
      <c r="I69" s="585" t="s">
        <v>272</v>
      </c>
      <c r="J69" s="39"/>
      <c r="K69" s="668"/>
      <c r="L69" s="585"/>
      <c r="N69" s="39"/>
      <c r="P69" s="39"/>
      <c r="Q69" s="41"/>
      <c r="S69" s="662" t="s">
        <v>273</v>
      </c>
      <c r="T69" s="663"/>
    </row>
    <row r="70" spans="1:20">
      <c r="A70" s="560"/>
      <c r="B70" s="201">
        <f>B69+1</f>
        <v>74</v>
      </c>
      <c r="C70" s="670"/>
      <c r="H70" s="39"/>
      <c r="I70" s="585"/>
      <c r="J70" s="39"/>
      <c r="P70" s="40" t="b">
        <v>0</v>
      </c>
      <c r="Q70" s="39" t="s">
        <v>274</v>
      </c>
      <c r="S70" s="40" t="b">
        <v>0</v>
      </c>
      <c r="T70" s="64" t="s">
        <v>275</v>
      </c>
    </row>
    <row r="71" spans="1:20">
      <c r="A71" s="560"/>
      <c r="B71" s="201">
        <f>B70+1</f>
        <v>75</v>
      </c>
      <c r="C71" s="670"/>
      <c r="H71" s="39"/>
      <c r="I71" s="39"/>
      <c r="J71" s="39"/>
      <c r="Q71" s="21" t="s">
        <v>140</v>
      </c>
      <c r="S71" s="40" t="b">
        <v>0</v>
      </c>
      <c r="T71" s="64" t="s">
        <v>276</v>
      </c>
    </row>
    <row r="72" spans="1:20" ht="15" thickBot="1">
      <c r="A72" s="561"/>
      <c r="B72" s="201">
        <f>B71+1</f>
        <v>76</v>
      </c>
      <c r="C72" s="671"/>
      <c r="D72" s="59"/>
      <c r="E72" s="59"/>
      <c r="F72" s="59"/>
      <c r="G72" s="59"/>
      <c r="H72" s="66"/>
      <c r="I72" s="66"/>
      <c r="J72" s="66"/>
      <c r="K72" s="59"/>
      <c r="L72" s="59"/>
      <c r="M72" s="59"/>
      <c r="N72" s="59"/>
      <c r="O72" s="59"/>
      <c r="P72" s="59"/>
      <c r="Q72" s="60"/>
      <c r="R72" s="59"/>
      <c r="S72" s="108" t="b">
        <v>0</v>
      </c>
      <c r="T72" s="109" t="s">
        <v>277</v>
      </c>
    </row>
    <row r="73" spans="1:20" ht="15" hidden="1" thickBot="1">
      <c r="C73" s="260"/>
      <c r="D73" s="197"/>
      <c r="E73" s="197"/>
      <c r="F73" s="197"/>
      <c r="G73" s="197"/>
      <c r="H73" s="197"/>
      <c r="I73" s="197"/>
      <c r="J73" s="197"/>
      <c r="K73" s="197"/>
      <c r="L73" s="197"/>
      <c r="M73" s="197"/>
      <c r="N73" s="197"/>
      <c r="O73" s="197"/>
      <c r="P73" s="197"/>
      <c r="Q73" s="197"/>
      <c r="R73" s="197"/>
      <c r="S73" s="197"/>
      <c r="T73" s="261"/>
    </row>
    <row r="74" spans="1:20" ht="3.6" customHeight="1" thickBot="1">
      <c r="C74" s="260"/>
      <c r="D74" s="197"/>
      <c r="E74" s="197"/>
      <c r="F74" s="197"/>
      <c r="G74" s="197"/>
      <c r="H74" s="197"/>
      <c r="I74" s="197"/>
      <c r="J74" s="197"/>
      <c r="K74" s="197"/>
      <c r="L74" s="197"/>
      <c r="M74" s="197"/>
      <c r="N74" s="197"/>
      <c r="O74" s="197"/>
      <c r="P74" s="197"/>
      <c r="Q74" s="197"/>
      <c r="R74" s="197"/>
      <c r="S74" s="197"/>
      <c r="T74" s="261"/>
    </row>
    <row r="75" spans="1:20" ht="15" hidden="1" thickBot="1">
      <c r="C75" s="260"/>
      <c r="D75" s="197"/>
      <c r="E75" s="197"/>
      <c r="F75" s="197"/>
      <c r="G75" s="197"/>
      <c r="H75" s="197"/>
      <c r="I75" s="197"/>
      <c r="J75" s="197"/>
      <c r="K75" s="197"/>
      <c r="L75" s="197"/>
      <c r="M75" s="197"/>
      <c r="N75" s="197"/>
      <c r="O75" s="197"/>
      <c r="P75" s="197"/>
      <c r="Q75" s="197"/>
      <c r="R75" s="197"/>
      <c r="S75" s="197"/>
      <c r="T75" s="261"/>
    </row>
    <row r="76" spans="1:20" ht="16.5" thickBot="1">
      <c r="A76" s="559">
        <f>A67+1</f>
        <v>8</v>
      </c>
      <c r="B76" s="474">
        <f>B67+10</f>
        <v>81</v>
      </c>
      <c r="C76" s="669" t="str">
        <f>VLOOKUP(A76,INputs!$G$3:$O$22,9,FALSE)</f>
        <v>Sub Label-All Employees</v>
      </c>
      <c r="D76" s="54"/>
      <c r="E76" s="52" t="b">
        <v>1</v>
      </c>
      <c r="F76" s="53" t="s">
        <v>263</v>
      </c>
      <c r="G76" s="54"/>
      <c r="H76" s="664" t="s">
        <v>41</v>
      </c>
      <c r="I76" s="664"/>
      <c r="J76" s="55"/>
      <c r="K76" s="69" t="b">
        <v>1</v>
      </c>
      <c r="L76" s="55" t="s">
        <v>264</v>
      </c>
      <c r="M76" s="54"/>
      <c r="N76" s="413" t="s">
        <v>265</v>
      </c>
      <c r="O76" s="54"/>
      <c r="P76" s="665" t="s">
        <v>266</v>
      </c>
      <c r="Q76" s="665"/>
      <c r="R76" s="54"/>
      <c r="S76" s="666" t="s">
        <v>267</v>
      </c>
      <c r="T76" s="667"/>
    </row>
    <row r="77" spans="1:20" ht="15.95">
      <c r="A77" s="560"/>
      <c r="B77" s="201">
        <f>B76+1</f>
        <v>82</v>
      </c>
      <c r="C77" s="670"/>
      <c r="E77" s="56" t="b">
        <v>1</v>
      </c>
      <c r="F77" s="57" t="s">
        <v>268</v>
      </c>
      <c r="H77" s="39"/>
      <c r="I77" s="579" t="s">
        <v>141</v>
      </c>
      <c r="J77" s="579"/>
      <c r="K77" s="668" t="b">
        <v>1</v>
      </c>
      <c r="L77" s="585" t="s">
        <v>266</v>
      </c>
      <c r="N77" s="35" t="s">
        <v>142</v>
      </c>
      <c r="P77" s="40" t="b">
        <v>1</v>
      </c>
      <c r="Q77" s="39" t="s">
        <v>269</v>
      </c>
      <c r="S77" s="40" t="b">
        <v>0</v>
      </c>
      <c r="T77" s="64" t="s">
        <v>270</v>
      </c>
    </row>
    <row r="78" spans="1:20" ht="15.95">
      <c r="A78" s="560"/>
      <c r="B78" s="201">
        <f>B77+1</f>
        <v>83</v>
      </c>
      <c r="C78" s="670"/>
      <c r="E78" s="56" t="b">
        <v>0</v>
      </c>
      <c r="F78" s="57" t="s">
        <v>271</v>
      </c>
      <c r="H78" s="40" t="b">
        <v>0</v>
      </c>
      <c r="I78" s="585" t="s">
        <v>272</v>
      </c>
      <c r="J78" s="39"/>
      <c r="K78" s="668"/>
      <c r="L78" s="585"/>
      <c r="N78" s="39" t="s">
        <v>61</v>
      </c>
      <c r="P78" s="39"/>
      <c r="Q78" s="41" t="s">
        <v>54</v>
      </c>
      <c r="S78" s="662" t="s">
        <v>273</v>
      </c>
      <c r="T78" s="663"/>
    </row>
    <row r="79" spans="1:20">
      <c r="A79" s="560"/>
      <c r="B79" s="201">
        <f>B78+1</f>
        <v>84</v>
      </c>
      <c r="C79" s="670"/>
      <c r="H79" s="39"/>
      <c r="I79" s="585"/>
      <c r="J79" s="39"/>
      <c r="P79" s="40" t="b">
        <v>0</v>
      </c>
      <c r="Q79" s="39" t="s">
        <v>274</v>
      </c>
      <c r="S79" s="40" t="b">
        <v>0</v>
      </c>
      <c r="T79" s="64" t="s">
        <v>275</v>
      </c>
    </row>
    <row r="80" spans="1:20">
      <c r="A80" s="560"/>
      <c r="B80" s="201">
        <f>B79+1</f>
        <v>85</v>
      </c>
      <c r="C80" s="670"/>
      <c r="H80" s="39"/>
      <c r="I80" s="39"/>
      <c r="J80" s="39"/>
      <c r="Q80" s="21" t="s">
        <v>140</v>
      </c>
      <c r="S80" s="40" t="b">
        <v>0</v>
      </c>
      <c r="T80" s="64" t="s">
        <v>276</v>
      </c>
    </row>
    <row r="81" spans="1:20" ht="15" thickBot="1">
      <c r="A81" s="561"/>
      <c r="B81" s="201">
        <f>B80+1</f>
        <v>86</v>
      </c>
      <c r="C81" s="671"/>
      <c r="D81" s="59"/>
      <c r="E81" s="59"/>
      <c r="F81" s="59"/>
      <c r="G81" s="59"/>
      <c r="H81" s="66"/>
      <c r="I81" s="66"/>
      <c r="J81" s="66"/>
      <c r="K81" s="59"/>
      <c r="L81" s="59"/>
      <c r="M81" s="59"/>
      <c r="N81" s="59"/>
      <c r="O81" s="59"/>
      <c r="P81" s="59"/>
      <c r="Q81" s="60"/>
      <c r="R81" s="59"/>
      <c r="S81" s="108" t="b">
        <v>0</v>
      </c>
      <c r="T81" s="109" t="s">
        <v>277</v>
      </c>
    </row>
    <row r="82" spans="1:20" ht="15" hidden="1" thickBot="1">
      <c r="C82" s="260"/>
      <c r="D82" s="197"/>
      <c r="E82" s="197"/>
      <c r="F82" s="197"/>
      <c r="G82" s="197"/>
      <c r="H82" s="197"/>
      <c r="I82" s="197"/>
      <c r="J82" s="197"/>
      <c r="K82" s="197"/>
      <c r="L82" s="197"/>
      <c r="M82" s="197"/>
      <c r="N82" s="197"/>
      <c r="O82" s="197"/>
      <c r="P82" s="197"/>
      <c r="Q82" s="197"/>
      <c r="R82" s="197"/>
      <c r="S82" s="197"/>
      <c r="T82" s="261"/>
    </row>
    <row r="83" spans="1:20" ht="3.6" customHeight="1" thickBot="1">
      <c r="C83" s="260"/>
      <c r="D83" s="197"/>
      <c r="E83" s="197"/>
      <c r="F83" s="197"/>
      <c r="G83" s="197"/>
      <c r="H83" s="197"/>
      <c r="I83" s="197"/>
      <c r="J83" s="197"/>
      <c r="K83" s="197"/>
      <c r="L83" s="197"/>
      <c r="M83" s="197"/>
      <c r="N83" s="197"/>
      <c r="O83" s="197"/>
      <c r="P83" s="197"/>
      <c r="Q83" s="197"/>
      <c r="R83" s="197"/>
      <c r="S83" s="197"/>
      <c r="T83" s="261"/>
    </row>
    <row r="84" spans="1:20" ht="15" hidden="1" thickBot="1">
      <c r="C84" s="260"/>
      <c r="D84" s="197"/>
      <c r="E84" s="197"/>
      <c r="F84" s="197"/>
      <c r="G84" s="197"/>
      <c r="H84" s="197"/>
      <c r="I84" s="197"/>
      <c r="J84" s="197"/>
      <c r="K84" s="197"/>
      <c r="L84" s="197"/>
      <c r="M84" s="197"/>
      <c r="N84" s="197"/>
      <c r="O84" s="197"/>
      <c r="P84" s="197"/>
      <c r="Q84" s="197"/>
      <c r="R84" s="197"/>
      <c r="S84" s="197"/>
      <c r="T84" s="261"/>
    </row>
    <row r="85" spans="1:20" ht="16.5" thickBot="1">
      <c r="A85" s="559">
        <f>A76+1</f>
        <v>9</v>
      </c>
      <c r="B85" s="474">
        <f>B76+10</f>
        <v>91</v>
      </c>
      <c r="C85" s="669" t="str">
        <f>VLOOKUP(A85,INputs!$G$3:$O$22,9,FALSE)</f>
        <v>Sub Label-Specific People</v>
      </c>
      <c r="D85" s="54"/>
      <c r="E85" s="52" t="b">
        <v>1</v>
      </c>
      <c r="F85" s="53" t="s">
        <v>263</v>
      </c>
      <c r="G85" s="54"/>
      <c r="H85" s="664" t="s">
        <v>41</v>
      </c>
      <c r="I85" s="664"/>
      <c r="J85" s="55"/>
      <c r="K85" s="69" t="b">
        <v>1</v>
      </c>
      <c r="L85" s="55" t="s">
        <v>264</v>
      </c>
      <c r="M85" s="54"/>
      <c r="N85" s="413" t="s">
        <v>265</v>
      </c>
      <c r="O85" s="54"/>
      <c r="P85" s="665" t="s">
        <v>266</v>
      </c>
      <c r="Q85" s="665"/>
      <c r="R85" s="54"/>
      <c r="S85" s="666" t="s">
        <v>267</v>
      </c>
      <c r="T85" s="667"/>
    </row>
    <row r="86" spans="1:20" ht="15.95">
      <c r="A86" s="560"/>
      <c r="B86" s="201">
        <f>B85+1</f>
        <v>92</v>
      </c>
      <c r="C86" s="670"/>
      <c r="E86" s="56" t="b">
        <v>1</v>
      </c>
      <c r="F86" s="57" t="s">
        <v>268</v>
      </c>
      <c r="H86" s="39"/>
      <c r="I86" s="579" t="s">
        <v>141</v>
      </c>
      <c r="J86" s="579"/>
      <c r="K86" s="668" t="b">
        <v>1</v>
      </c>
      <c r="L86" s="585" t="s">
        <v>266</v>
      </c>
      <c r="N86" s="35" t="s">
        <v>142</v>
      </c>
      <c r="P86" s="40" t="b">
        <v>1</v>
      </c>
      <c r="Q86" s="39" t="s">
        <v>269</v>
      </c>
      <c r="S86" s="40" t="b">
        <v>0</v>
      </c>
      <c r="T86" s="64" t="s">
        <v>270</v>
      </c>
    </row>
    <row r="87" spans="1:20" ht="15.95">
      <c r="A87" s="560"/>
      <c r="B87" s="201">
        <f>B86+1</f>
        <v>93</v>
      </c>
      <c r="C87" s="670"/>
      <c r="E87" s="56" t="b">
        <v>0</v>
      </c>
      <c r="F87" s="57" t="s">
        <v>271</v>
      </c>
      <c r="H87" s="40" t="b">
        <v>1</v>
      </c>
      <c r="I87" s="585" t="s">
        <v>272</v>
      </c>
      <c r="J87" s="39"/>
      <c r="K87" s="668"/>
      <c r="L87" s="585"/>
      <c r="N87" s="39" t="s">
        <v>42</v>
      </c>
      <c r="P87" s="39"/>
      <c r="Q87" s="41" t="s">
        <v>54</v>
      </c>
      <c r="S87" s="662" t="s">
        <v>273</v>
      </c>
      <c r="T87" s="663"/>
    </row>
    <row r="88" spans="1:20">
      <c r="A88" s="560"/>
      <c r="B88" s="201">
        <f>B87+1</f>
        <v>94</v>
      </c>
      <c r="C88" s="670"/>
      <c r="H88" s="39"/>
      <c r="I88" s="585"/>
      <c r="J88" s="39"/>
      <c r="P88" s="40" t="b">
        <v>0</v>
      </c>
      <c r="Q88" s="39" t="s">
        <v>274</v>
      </c>
      <c r="S88" s="40" t="b">
        <v>0</v>
      </c>
      <c r="T88" s="64" t="s">
        <v>275</v>
      </c>
    </row>
    <row r="89" spans="1:20">
      <c r="A89" s="560"/>
      <c r="B89" s="201">
        <f>B88+1</f>
        <v>95</v>
      </c>
      <c r="C89" s="670"/>
      <c r="H89" s="39"/>
      <c r="I89" s="39"/>
      <c r="J89" s="39"/>
      <c r="Q89" s="21" t="s">
        <v>140</v>
      </c>
      <c r="S89" s="40" t="b">
        <v>0</v>
      </c>
      <c r="T89" s="64" t="s">
        <v>276</v>
      </c>
    </row>
    <row r="90" spans="1:20" ht="15" thickBot="1">
      <c r="A90" s="561"/>
      <c r="B90" s="201">
        <f>B89+1</f>
        <v>96</v>
      </c>
      <c r="C90" s="671"/>
      <c r="D90" s="59"/>
      <c r="E90" s="59"/>
      <c r="F90" s="59"/>
      <c r="G90" s="59"/>
      <c r="H90" s="66"/>
      <c r="I90" s="66"/>
      <c r="J90" s="66"/>
      <c r="K90" s="59"/>
      <c r="L90" s="59"/>
      <c r="M90" s="59"/>
      <c r="N90" s="59"/>
      <c r="O90" s="59"/>
      <c r="P90" s="59"/>
      <c r="Q90" s="60"/>
      <c r="R90" s="59"/>
      <c r="S90" s="108" t="b">
        <v>0</v>
      </c>
      <c r="T90" s="109" t="s">
        <v>277</v>
      </c>
    </row>
    <row r="91" spans="1:20" ht="15" hidden="1" thickBot="1">
      <c r="C91" s="260"/>
      <c r="D91" s="197"/>
      <c r="E91" s="197"/>
      <c r="F91" s="197"/>
      <c r="G91" s="197"/>
      <c r="H91" s="197"/>
      <c r="I91" s="197"/>
      <c r="J91" s="197"/>
      <c r="K91" s="197"/>
      <c r="L91" s="197"/>
      <c r="M91" s="197"/>
      <c r="N91" s="197"/>
      <c r="O91" s="197"/>
      <c r="P91" s="197"/>
      <c r="Q91" s="197"/>
      <c r="R91" s="197"/>
      <c r="S91" s="197"/>
      <c r="T91" s="261"/>
    </row>
    <row r="92" spans="1:20" ht="3.6" customHeight="1" thickBot="1">
      <c r="C92" s="260"/>
      <c r="D92" s="197"/>
      <c r="E92" s="197"/>
      <c r="F92" s="197"/>
      <c r="G92" s="197"/>
      <c r="H92" s="197"/>
      <c r="I92" s="197"/>
      <c r="J92" s="197"/>
      <c r="K92" s="197"/>
      <c r="L92" s="197"/>
      <c r="M92" s="197"/>
      <c r="N92" s="197"/>
      <c r="O92" s="197"/>
      <c r="P92" s="197"/>
      <c r="Q92" s="197"/>
      <c r="R92" s="197"/>
      <c r="S92" s="197"/>
      <c r="T92" s="261"/>
    </row>
    <row r="93" spans="1:20" ht="15" hidden="1" thickBot="1">
      <c r="C93" s="260"/>
      <c r="D93" s="197"/>
      <c r="E93" s="197"/>
      <c r="F93" s="197"/>
      <c r="G93" s="197"/>
      <c r="H93" s="197"/>
      <c r="I93" s="197"/>
      <c r="J93" s="197"/>
      <c r="K93" s="197"/>
      <c r="L93" s="197"/>
      <c r="M93" s="197"/>
      <c r="N93" s="197"/>
      <c r="O93" s="197"/>
      <c r="P93" s="197"/>
      <c r="Q93" s="197"/>
      <c r="R93" s="197"/>
      <c r="S93" s="197"/>
      <c r="T93" s="261"/>
    </row>
    <row r="94" spans="1:20" ht="16.5" thickBot="1">
      <c r="A94" s="559">
        <f>A85+1</f>
        <v>10</v>
      </c>
      <c r="B94" s="474">
        <f>B85+10</f>
        <v>101</v>
      </c>
      <c r="C94" s="669" t="str">
        <f>VLOOKUP(A94,INputs!$G$3:$O$22,9,FALSE)</f>
        <v>Sub Label-Internal exception</v>
      </c>
      <c r="D94" s="54"/>
      <c r="E94" s="52" t="b">
        <v>0</v>
      </c>
      <c r="F94" s="53" t="s">
        <v>263</v>
      </c>
      <c r="G94" s="54"/>
      <c r="H94" s="664"/>
      <c r="I94" s="664"/>
      <c r="J94" s="55"/>
      <c r="K94" s="69" t="b">
        <v>0</v>
      </c>
      <c r="L94" s="55" t="s">
        <v>264</v>
      </c>
      <c r="M94" s="54"/>
      <c r="N94" s="413" t="s">
        <v>265</v>
      </c>
      <c r="O94" s="54"/>
      <c r="P94" s="665" t="s">
        <v>266</v>
      </c>
      <c r="Q94" s="665"/>
      <c r="R94" s="54"/>
      <c r="S94" s="666" t="s">
        <v>267</v>
      </c>
      <c r="T94" s="667"/>
    </row>
    <row r="95" spans="1:20" ht="15.95">
      <c r="A95" s="560"/>
      <c r="B95" s="201">
        <f>B94+1</f>
        <v>102</v>
      </c>
      <c r="C95" s="670"/>
      <c r="E95" s="56" t="b">
        <v>0</v>
      </c>
      <c r="F95" s="57" t="s">
        <v>268</v>
      </c>
      <c r="H95" s="39"/>
      <c r="I95" s="579" t="s">
        <v>141</v>
      </c>
      <c r="J95" s="579"/>
      <c r="K95" s="668" t="b">
        <v>0</v>
      </c>
      <c r="L95" s="585" t="s">
        <v>266</v>
      </c>
      <c r="N95" s="35" t="s">
        <v>142</v>
      </c>
      <c r="P95" s="40" t="b">
        <v>0</v>
      </c>
      <c r="Q95" s="39" t="s">
        <v>269</v>
      </c>
      <c r="S95" s="40" t="b">
        <v>0</v>
      </c>
      <c r="T95" s="64" t="s">
        <v>270</v>
      </c>
    </row>
    <row r="96" spans="1:20" ht="15.95">
      <c r="A96" s="560"/>
      <c r="B96" s="201">
        <f>B95+1</f>
        <v>103</v>
      </c>
      <c r="C96" s="670"/>
      <c r="E96" s="56" t="b">
        <v>0</v>
      </c>
      <c r="F96" s="57" t="s">
        <v>271</v>
      </c>
      <c r="H96" s="40" t="b">
        <v>0</v>
      </c>
      <c r="I96" s="585" t="s">
        <v>272</v>
      </c>
      <c r="J96" s="39"/>
      <c r="K96" s="668"/>
      <c r="L96" s="585"/>
      <c r="N96" s="39"/>
      <c r="P96" s="39"/>
      <c r="Q96" s="41"/>
      <c r="S96" s="662" t="s">
        <v>273</v>
      </c>
      <c r="T96" s="663"/>
    </row>
    <row r="97" spans="1:20">
      <c r="A97" s="560"/>
      <c r="B97" s="201">
        <f>B96+1</f>
        <v>104</v>
      </c>
      <c r="C97" s="670"/>
      <c r="H97" s="39"/>
      <c r="I97" s="585"/>
      <c r="J97" s="39"/>
      <c r="P97" s="40" t="b">
        <v>0</v>
      </c>
      <c r="Q97" s="39" t="s">
        <v>274</v>
      </c>
      <c r="S97" s="40" t="b">
        <v>0</v>
      </c>
      <c r="T97" s="64" t="s">
        <v>275</v>
      </c>
    </row>
    <row r="98" spans="1:20">
      <c r="A98" s="560"/>
      <c r="B98" s="201">
        <f>B97+1</f>
        <v>105</v>
      </c>
      <c r="C98" s="670"/>
      <c r="H98" s="39"/>
      <c r="I98" s="39"/>
      <c r="J98" s="39"/>
      <c r="Q98" s="21" t="s">
        <v>140</v>
      </c>
      <c r="S98" s="40" t="b">
        <v>0</v>
      </c>
      <c r="T98" s="64" t="s">
        <v>276</v>
      </c>
    </row>
    <row r="99" spans="1:20" ht="15" thickBot="1">
      <c r="A99" s="561"/>
      <c r="B99" s="201">
        <f>B98+1</f>
        <v>106</v>
      </c>
      <c r="C99" s="671"/>
      <c r="D99" s="59"/>
      <c r="E99" s="59"/>
      <c r="F99" s="59"/>
      <c r="G99" s="59"/>
      <c r="H99" s="66"/>
      <c r="I99" s="66"/>
      <c r="J99" s="66"/>
      <c r="K99" s="59"/>
      <c r="L99" s="59"/>
      <c r="M99" s="59"/>
      <c r="N99" s="59"/>
      <c r="O99" s="59"/>
      <c r="P99" s="59"/>
      <c r="Q99" s="60"/>
      <c r="R99" s="59"/>
      <c r="S99" s="108" t="b">
        <v>0</v>
      </c>
      <c r="T99" s="109" t="s">
        <v>277</v>
      </c>
    </row>
    <row r="100" spans="1:20" ht="15" hidden="1" thickBot="1">
      <c r="C100" s="260"/>
      <c r="D100" s="197"/>
      <c r="E100" s="197"/>
      <c r="F100" s="197"/>
      <c r="G100" s="197"/>
      <c r="H100" s="197"/>
      <c r="I100" s="197"/>
      <c r="J100" s="197"/>
      <c r="K100" s="197"/>
      <c r="L100" s="197"/>
      <c r="M100" s="197"/>
      <c r="N100" s="197"/>
      <c r="O100" s="197"/>
      <c r="P100" s="197"/>
      <c r="Q100" s="197"/>
      <c r="R100" s="197"/>
      <c r="S100" s="197"/>
      <c r="T100" s="261"/>
    </row>
    <row r="101" spans="1:20" ht="3.6" customHeight="1" thickBot="1">
      <c r="C101" s="260"/>
      <c r="D101" s="197"/>
      <c r="E101" s="197"/>
      <c r="F101" s="197"/>
      <c r="G101" s="197"/>
      <c r="H101" s="197"/>
      <c r="I101" s="197"/>
      <c r="J101" s="197"/>
      <c r="K101" s="197"/>
      <c r="L101" s="197"/>
      <c r="M101" s="197"/>
      <c r="N101" s="197"/>
      <c r="O101" s="197"/>
      <c r="P101" s="197"/>
      <c r="Q101" s="197"/>
      <c r="R101" s="197"/>
      <c r="S101" s="197"/>
      <c r="T101" s="261"/>
    </row>
    <row r="102" spans="1:20" ht="15" hidden="1" thickBot="1">
      <c r="C102" s="260"/>
      <c r="D102" s="197"/>
      <c r="E102" s="197"/>
      <c r="F102" s="197"/>
      <c r="G102" s="197"/>
      <c r="H102" s="197"/>
      <c r="I102" s="197"/>
      <c r="J102" s="197"/>
      <c r="K102" s="197"/>
      <c r="L102" s="197"/>
      <c r="M102" s="197"/>
      <c r="N102" s="197"/>
      <c r="O102" s="197"/>
      <c r="P102" s="197"/>
      <c r="Q102" s="197"/>
      <c r="R102" s="197"/>
      <c r="S102" s="197"/>
      <c r="T102" s="261"/>
    </row>
    <row r="103" spans="1:20" ht="16.5" thickBot="1">
      <c r="A103" s="559">
        <f>A94+1</f>
        <v>11</v>
      </c>
      <c r="B103" s="474">
        <f>B94+10</f>
        <v>111</v>
      </c>
      <c r="C103" s="669" t="str">
        <f>VLOOKUP(A103,INputs!$G$3:$O$22,9,FALSE)</f>
        <v>Please fill out Sensitivity Labels Tab</v>
      </c>
      <c r="D103" s="54"/>
      <c r="E103" s="52" t="b">
        <v>0</v>
      </c>
      <c r="F103" s="53" t="s">
        <v>263</v>
      </c>
      <c r="G103" s="54"/>
      <c r="H103" s="664"/>
      <c r="I103" s="664"/>
      <c r="J103" s="55"/>
      <c r="K103" s="69" t="b">
        <v>0</v>
      </c>
      <c r="L103" s="55" t="s">
        <v>264</v>
      </c>
      <c r="M103" s="54"/>
      <c r="N103" s="413" t="s">
        <v>265</v>
      </c>
      <c r="O103" s="54"/>
      <c r="P103" s="665" t="s">
        <v>266</v>
      </c>
      <c r="Q103" s="665"/>
      <c r="R103" s="54"/>
      <c r="S103" s="666" t="s">
        <v>267</v>
      </c>
      <c r="T103" s="667"/>
    </row>
    <row r="104" spans="1:20" ht="15.95">
      <c r="A104" s="560"/>
      <c r="B104" s="201">
        <f>B103+1</f>
        <v>112</v>
      </c>
      <c r="C104" s="670"/>
      <c r="E104" s="56" t="b">
        <v>0</v>
      </c>
      <c r="F104" s="57" t="s">
        <v>268</v>
      </c>
      <c r="H104" s="39"/>
      <c r="I104" s="579" t="s">
        <v>141</v>
      </c>
      <c r="J104" s="579"/>
      <c r="K104" s="668" t="b">
        <v>0</v>
      </c>
      <c r="L104" s="585" t="s">
        <v>266</v>
      </c>
      <c r="N104" s="35" t="s">
        <v>142</v>
      </c>
      <c r="P104" s="40" t="b">
        <v>0</v>
      </c>
      <c r="Q104" s="39" t="s">
        <v>269</v>
      </c>
      <c r="S104" s="40" t="b">
        <v>0</v>
      </c>
      <c r="T104" s="64" t="s">
        <v>270</v>
      </c>
    </row>
    <row r="105" spans="1:20" ht="15.95">
      <c r="A105" s="560"/>
      <c r="B105" s="201">
        <f>B104+1</f>
        <v>113</v>
      </c>
      <c r="C105" s="670"/>
      <c r="E105" s="56" t="b">
        <v>0</v>
      </c>
      <c r="F105" s="57" t="s">
        <v>271</v>
      </c>
      <c r="H105" s="40" t="b">
        <v>0</v>
      </c>
      <c r="I105" s="585" t="s">
        <v>272</v>
      </c>
      <c r="J105" s="39"/>
      <c r="K105" s="668"/>
      <c r="L105" s="585"/>
      <c r="N105" s="39"/>
      <c r="P105" s="39"/>
      <c r="Q105" s="41"/>
      <c r="S105" s="662" t="s">
        <v>273</v>
      </c>
      <c r="T105" s="663"/>
    </row>
    <row r="106" spans="1:20">
      <c r="A106" s="560"/>
      <c r="B106" s="201">
        <f>B105+1</f>
        <v>114</v>
      </c>
      <c r="C106" s="670"/>
      <c r="H106" s="39"/>
      <c r="I106" s="585"/>
      <c r="J106" s="39"/>
      <c r="P106" s="40" t="b">
        <v>0</v>
      </c>
      <c r="Q106" s="39" t="s">
        <v>274</v>
      </c>
      <c r="S106" s="40" t="b">
        <v>0</v>
      </c>
      <c r="T106" s="64" t="s">
        <v>275</v>
      </c>
    </row>
    <row r="107" spans="1:20">
      <c r="A107" s="560"/>
      <c r="B107" s="201">
        <f>B106+1</f>
        <v>115</v>
      </c>
      <c r="C107" s="670"/>
      <c r="H107" s="39"/>
      <c r="I107" s="39"/>
      <c r="J107" s="39"/>
      <c r="Q107" s="21" t="s">
        <v>140</v>
      </c>
      <c r="S107" s="40" t="b">
        <v>0</v>
      </c>
      <c r="T107" s="64" t="s">
        <v>276</v>
      </c>
    </row>
    <row r="108" spans="1:20" ht="15" thickBot="1">
      <c r="A108" s="561"/>
      <c r="B108" s="201">
        <f>B107+1</f>
        <v>116</v>
      </c>
      <c r="C108" s="671"/>
      <c r="D108" s="59"/>
      <c r="E108" s="59"/>
      <c r="F108" s="59"/>
      <c r="G108" s="59"/>
      <c r="H108" s="66"/>
      <c r="I108" s="66"/>
      <c r="J108" s="66"/>
      <c r="K108" s="59"/>
      <c r="L108" s="59"/>
      <c r="M108" s="59"/>
      <c r="N108" s="59"/>
      <c r="O108" s="59"/>
      <c r="P108" s="59"/>
      <c r="Q108" s="60"/>
      <c r="R108" s="59"/>
      <c r="S108" s="108" t="b">
        <v>0</v>
      </c>
      <c r="T108" s="109" t="s">
        <v>277</v>
      </c>
    </row>
    <row r="109" spans="1:20" ht="15" hidden="1" thickBot="1">
      <c r="C109" s="260"/>
      <c r="D109" s="197"/>
      <c r="E109" s="197"/>
      <c r="F109" s="197"/>
      <c r="G109" s="197"/>
      <c r="H109" s="197"/>
      <c r="I109" s="197"/>
      <c r="J109" s="197"/>
      <c r="K109" s="197"/>
      <c r="L109" s="197"/>
      <c r="M109" s="197"/>
      <c r="N109" s="197"/>
      <c r="O109" s="197"/>
      <c r="P109" s="197"/>
      <c r="Q109" s="197"/>
      <c r="R109" s="197"/>
      <c r="S109" s="197"/>
      <c r="T109" s="261"/>
    </row>
    <row r="110" spans="1:20" ht="3.6" customHeight="1" thickBot="1">
      <c r="C110" s="260"/>
      <c r="D110" s="197"/>
      <c r="E110" s="197"/>
      <c r="F110" s="197"/>
      <c r="G110" s="197"/>
      <c r="H110" s="197"/>
      <c r="I110" s="197"/>
      <c r="J110" s="197"/>
      <c r="K110" s="197"/>
      <c r="L110" s="197"/>
      <c r="M110" s="197"/>
      <c r="N110" s="197"/>
      <c r="O110" s="197"/>
      <c r="P110" s="197"/>
      <c r="Q110" s="197"/>
      <c r="R110" s="197"/>
      <c r="S110" s="197"/>
      <c r="T110" s="261"/>
    </row>
    <row r="111" spans="1:20" ht="15" hidden="1" thickBot="1">
      <c r="C111" s="260"/>
      <c r="D111" s="197"/>
      <c r="E111" s="197"/>
      <c r="F111" s="197"/>
      <c r="G111" s="197"/>
      <c r="H111" s="197"/>
      <c r="I111" s="197"/>
      <c r="J111" s="197"/>
      <c r="K111" s="197"/>
      <c r="L111" s="197"/>
      <c r="M111" s="197"/>
      <c r="N111" s="197"/>
      <c r="O111" s="197"/>
      <c r="P111" s="197"/>
      <c r="Q111" s="197"/>
      <c r="R111" s="197"/>
      <c r="S111" s="197"/>
      <c r="T111" s="261"/>
    </row>
    <row r="112" spans="1:20" ht="16.5" thickBot="1">
      <c r="A112" s="559">
        <f>A103+1</f>
        <v>12</v>
      </c>
      <c r="B112" s="474">
        <f>B103+10</f>
        <v>121</v>
      </c>
      <c r="C112" s="669" t="str">
        <f>VLOOKUP(A112,INputs!$G$3:$O$22,9,FALSE)</f>
        <v>Please fill out Sensitivity Labels Tab</v>
      </c>
      <c r="D112" s="54"/>
      <c r="E112" s="52" t="b">
        <v>0</v>
      </c>
      <c r="F112" s="53" t="s">
        <v>263</v>
      </c>
      <c r="G112" s="54"/>
      <c r="H112" s="664"/>
      <c r="I112" s="664"/>
      <c r="J112" s="55"/>
      <c r="K112" s="69" t="b">
        <v>0</v>
      </c>
      <c r="L112" s="55" t="s">
        <v>264</v>
      </c>
      <c r="M112" s="54"/>
      <c r="N112" s="413" t="s">
        <v>265</v>
      </c>
      <c r="O112" s="54"/>
      <c r="P112" s="665" t="s">
        <v>266</v>
      </c>
      <c r="Q112" s="665"/>
      <c r="R112" s="54"/>
      <c r="S112" s="666" t="s">
        <v>267</v>
      </c>
      <c r="T112" s="667"/>
    </row>
    <row r="113" spans="1:20" ht="15.95">
      <c r="A113" s="560"/>
      <c r="B113" s="201">
        <f>B112+1</f>
        <v>122</v>
      </c>
      <c r="C113" s="670"/>
      <c r="E113" s="56" t="b">
        <v>0</v>
      </c>
      <c r="F113" s="57" t="s">
        <v>268</v>
      </c>
      <c r="H113" s="39"/>
      <c r="I113" s="579" t="s">
        <v>141</v>
      </c>
      <c r="J113" s="579"/>
      <c r="K113" s="668" t="b">
        <v>0</v>
      </c>
      <c r="L113" s="585" t="s">
        <v>266</v>
      </c>
      <c r="N113" s="35" t="s">
        <v>142</v>
      </c>
      <c r="P113" s="40" t="b">
        <v>0</v>
      </c>
      <c r="Q113" s="39" t="s">
        <v>269</v>
      </c>
      <c r="S113" s="40" t="b">
        <v>0</v>
      </c>
      <c r="T113" s="64" t="s">
        <v>270</v>
      </c>
    </row>
    <row r="114" spans="1:20" ht="15.95">
      <c r="A114" s="560"/>
      <c r="B114" s="201">
        <f>B113+1</f>
        <v>123</v>
      </c>
      <c r="C114" s="670"/>
      <c r="E114" s="56" t="b">
        <v>0</v>
      </c>
      <c r="F114" s="57" t="s">
        <v>271</v>
      </c>
      <c r="H114" s="40" t="b">
        <v>0</v>
      </c>
      <c r="I114" s="585" t="s">
        <v>272</v>
      </c>
      <c r="J114" s="39"/>
      <c r="K114" s="668"/>
      <c r="L114" s="585"/>
      <c r="N114" s="39"/>
      <c r="P114" s="39"/>
      <c r="Q114" s="41"/>
      <c r="S114" s="662" t="s">
        <v>273</v>
      </c>
      <c r="T114" s="663"/>
    </row>
    <row r="115" spans="1:20">
      <c r="A115" s="560"/>
      <c r="B115" s="201">
        <f>B114+1</f>
        <v>124</v>
      </c>
      <c r="C115" s="670"/>
      <c r="H115" s="39"/>
      <c r="I115" s="585"/>
      <c r="J115" s="39"/>
      <c r="P115" s="40" t="b">
        <v>0</v>
      </c>
      <c r="Q115" s="39" t="s">
        <v>274</v>
      </c>
      <c r="S115" s="40" t="b">
        <v>0</v>
      </c>
      <c r="T115" s="64" t="s">
        <v>275</v>
      </c>
    </row>
    <row r="116" spans="1:20">
      <c r="A116" s="560"/>
      <c r="B116" s="201">
        <f>B115+1</f>
        <v>125</v>
      </c>
      <c r="C116" s="670"/>
      <c r="H116" s="39"/>
      <c r="I116" s="39"/>
      <c r="J116" s="39"/>
      <c r="Q116" s="21" t="s">
        <v>140</v>
      </c>
      <c r="S116" s="40" t="b">
        <v>0</v>
      </c>
      <c r="T116" s="64" t="s">
        <v>276</v>
      </c>
    </row>
    <row r="117" spans="1:20" ht="15" thickBot="1">
      <c r="A117" s="561"/>
      <c r="B117" s="201">
        <f>B116+1</f>
        <v>126</v>
      </c>
      <c r="C117" s="671"/>
      <c r="D117" s="59"/>
      <c r="E117" s="59"/>
      <c r="F117" s="59"/>
      <c r="G117" s="59"/>
      <c r="H117" s="66"/>
      <c r="I117" s="66"/>
      <c r="J117" s="66"/>
      <c r="K117" s="59"/>
      <c r="L117" s="59"/>
      <c r="M117" s="59"/>
      <c r="N117" s="59"/>
      <c r="O117" s="59"/>
      <c r="P117" s="59"/>
      <c r="Q117" s="60"/>
      <c r="R117" s="59"/>
      <c r="S117" s="108" t="b">
        <v>0</v>
      </c>
      <c r="T117" s="109" t="s">
        <v>277</v>
      </c>
    </row>
    <row r="118" spans="1:20" ht="15" hidden="1" thickBot="1">
      <c r="C118" s="260"/>
      <c r="D118" s="197"/>
      <c r="E118" s="197"/>
      <c r="F118" s="197"/>
      <c r="G118" s="197"/>
      <c r="H118" s="197"/>
      <c r="I118" s="197"/>
      <c r="J118" s="197"/>
      <c r="K118" s="197"/>
      <c r="L118" s="197"/>
      <c r="M118" s="197"/>
      <c r="N118" s="197"/>
      <c r="O118" s="197"/>
      <c r="P118" s="197"/>
      <c r="Q118" s="197"/>
      <c r="R118" s="197"/>
      <c r="S118" s="197"/>
      <c r="T118" s="261"/>
    </row>
    <row r="119" spans="1:20" ht="3.6" customHeight="1" thickBot="1">
      <c r="C119" s="260"/>
      <c r="D119" s="197"/>
      <c r="E119" s="197"/>
      <c r="F119" s="197"/>
      <c r="G119" s="197"/>
      <c r="H119" s="197"/>
      <c r="I119" s="197"/>
      <c r="J119" s="197"/>
      <c r="K119" s="197"/>
      <c r="L119" s="197"/>
      <c r="M119" s="197"/>
      <c r="N119" s="197"/>
      <c r="O119" s="197"/>
      <c r="P119" s="197"/>
      <c r="Q119" s="197"/>
      <c r="R119" s="197"/>
      <c r="S119" s="197"/>
      <c r="T119" s="261"/>
    </row>
    <row r="120" spans="1:20" ht="15" hidden="1" thickBot="1">
      <c r="C120" s="260"/>
      <c r="D120" s="197"/>
      <c r="E120" s="197"/>
      <c r="F120" s="197"/>
      <c r="G120" s="197"/>
      <c r="H120" s="197"/>
      <c r="I120" s="197"/>
      <c r="J120" s="197"/>
      <c r="K120" s="197"/>
      <c r="L120" s="197"/>
      <c r="M120" s="197"/>
      <c r="N120" s="197"/>
      <c r="O120" s="197"/>
      <c r="P120" s="197"/>
      <c r="Q120" s="197"/>
      <c r="R120" s="197"/>
      <c r="S120" s="197"/>
      <c r="T120" s="261"/>
    </row>
    <row r="121" spans="1:20" ht="16.5" thickBot="1">
      <c r="A121" s="559">
        <f>A112+1</f>
        <v>13</v>
      </c>
      <c r="B121" s="474">
        <f>B112+10</f>
        <v>131</v>
      </c>
      <c r="C121" s="669" t="str">
        <f>VLOOKUP(A121,INputs!$G$3:$O$22,9,FALSE)</f>
        <v>Please fill out Sensitivity Labels Tab</v>
      </c>
      <c r="D121" s="54"/>
      <c r="E121" s="52" t="b">
        <v>0</v>
      </c>
      <c r="F121" s="53" t="s">
        <v>263</v>
      </c>
      <c r="G121" s="54"/>
      <c r="H121" s="664"/>
      <c r="I121" s="664"/>
      <c r="J121" s="55"/>
      <c r="K121" s="69" t="b">
        <v>0</v>
      </c>
      <c r="L121" s="55" t="s">
        <v>264</v>
      </c>
      <c r="M121" s="54"/>
      <c r="N121" s="413" t="s">
        <v>265</v>
      </c>
      <c r="O121" s="54"/>
      <c r="P121" s="665" t="s">
        <v>266</v>
      </c>
      <c r="Q121" s="665"/>
      <c r="R121" s="54"/>
      <c r="S121" s="666" t="s">
        <v>267</v>
      </c>
      <c r="T121" s="667"/>
    </row>
    <row r="122" spans="1:20" ht="15.95">
      <c r="A122" s="560"/>
      <c r="B122" s="201">
        <f>B121+1</f>
        <v>132</v>
      </c>
      <c r="C122" s="670"/>
      <c r="E122" s="56" t="b">
        <v>0</v>
      </c>
      <c r="F122" s="57" t="s">
        <v>268</v>
      </c>
      <c r="H122" s="39"/>
      <c r="I122" s="579" t="s">
        <v>141</v>
      </c>
      <c r="J122" s="579"/>
      <c r="K122" s="668" t="b">
        <v>0</v>
      </c>
      <c r="L122" s="585" t="s">
        <v>266</v>
      </c>
      <c r="N122" s="35" t="s">
        <v>142</v>
      </c>
      <c r="P122" s="40" t="b">
        <v>0</v>
      </c>
      <c r="Q122" s="39" t="s">
        <v>269</v>
      </c>
      <c r="S122" s="40" t="b">
        <v>0</v>
      </c>
      <c r="T122" s="64" t="s">
        <v>270</v>
      </c>
    </row>
    <row r="123" spans="1:20" ht="15.95">
      <c r="A123" s="560"/>
      <c r="B123" s="201">
        <f>B122+1</f>
        <v>133</v>
      </c>
      <c r="C123" s="670"/>
      <c r="E123" s="56" t="b">
        <v>0</v>
      </c>
      <c r="F123" s="57" t="s">
        <v>271</v>
      </c>
      <c r="H123" s="40" t="b">
        <v>0</v>
      </c>
      <c r="I123" s="585" t="s">
        <v>272</v>
      </c>
      <c r="J123" s="39"/>
      <c r="K123" s="668"/>
      <c r="L123" s="585"/>
      <c r="N123" s="39"/>
      <c r="P123" s="39"/>
      <c r="Q123" s="41"/>
      <c r="S123" s="662" t="s">
        <v>273</v>
      </c>
      <c r="T123" s="663"/>
    </row>
    <row r="124" spans="1:20">
      <c r="A124" s="560"/>
      <c r="B124" s="201">
        <f>B123+1</f>
        <v>134</v>
      </c>
      <c r="C124" s="670"/>
      <c r="H124" s="39"/>
      <c r="I124" s="585"/>
      <c r="J124" s="39"/>
      <c r="P124" s="40" t="b">
        <v>0</v>
      </c>
      <c r="Q124" s="39" t="s">
        <v>274</v>
      </c>
      <c r="S124" s="40" t="b">
        <v>0</v>
      </c>
      <c r="T124" s="64" t="s">
        <v>275</v>
      </c>
    </row>
    <row r="125" spans="1:20">
      <c r="A125" s="560"/>
      <c r="B125" s="201">
        <f>B124+1</f>
        <v>135</v>
      </c>
      <c r="C125" s="670"/>
      <c r="H125" s="39"/>
      <c r="I125" s="39"/>
      <c r="J125" s="39"/>
      <c r="Q125" s="21" t="s">
        <v>140</v>
      </c>
      <c r="S125" s="40" t="b">
        <v>0</v>
      </c>
      <c r="T125" s="64" t="s">
        <v>276</v>
      </c>
    </row>
    <row r="126" spans="1:20" ht="15" thickBot="1">
      <c r="A126" s="561"/>
      <c r="B126" s="201">
        <f>B125+1</f>
        <v>136</v>
      </c>
      <c r="C126" s="671"/>
      <c r="D126" s="59"/>
      <c r="E126" s="59"/>
      <c r="F126" s="59"/>
      <c r="G126" s="59"/>
      <c r="H126" s="66"/>
      <c r="I126" s="66"/>
      <c r="J126" s="66"/>
      <c r="K126" s="59"/>
      <c r="L126" s="59"/>
      <c r="M126" s="59"/>
      <c r="N126" s="59"/>
      <c r="O126" s="59"/>
      <c r="P126" s="59"/>
      <c r="Q126" s="60"/>
      <c r="R126" s="59"/>
      <c r="S126" s="108" t="b">
        <v>0</v>
      </c>
      <c r="T126" s="109" t="s">
        <v>277</v>
      </c>
    </row>
    <row r="127" spans="1:20" ht="15" hidden="1" thickBot="1">
      <c r="C127" s="260"/>
      <c r="D127" s="197"/>
      <c r="E127" s="197"/>
      <c r="F127" s="197"/>
      <c r="G127" s="197"/>
      <c r="H127" s="197"/>
      <c r="I127" s="197"/>
      <c r="J127" s="197"/>
      <c r="K127" s="197"/>
      <c r="L127" s="197"/>
      <c r="M127" s="197"/>
      <c r="N127" s="197"/>
      <c r="O127" s="197"/>
      <c r="P127" s="197"/>
      <c r="Q127" s="197"/>
      <c r="R127" s="197"/>
      <c r="S127" s="197"/>
      <c r="T127" s="261"/>
    </row>
    <row r="128" spans="1:20" ht="3.6" customHeight="1" thickBot="1">
      <c r="C128" s="260"/>
      <c r="D128" s="197"/>
      <c r="E128" s="197"/>
      <c r="F128" s="197"/>
      <c r="G128" s="197"/>
      <c r="H128" s="197"/>
      <c r="I128" s="197"/>
      <c r="J128" s="197"/>
      <c r="K128" s="197"/>
      <c r="L128" s="197"/>
      <c r="M128" s="197"/>
      <c r="N128" s="197"/>
      <c r="O128" s="197"/>
      <c r="P128" s="197"/>
      <c r="Q128" s="197"/>
      <c r="R128" s="197"/>
      <c r="S128" s="197"/>
      <c r="T128" s="261"/>
    </row>
    <row r="129" spans="1:20" ht="15" hidden="1" thickBot="1">
      <c r="C129" s="260"/>
      <c r="D129" s="197"/>
      <c r="E129" s="197"/>
      <c r="F129" s="197"/>
      <c r="G129" s="197"/>
      <c r="H129" s="197"/>
      <c r="I129" s="197"/>
      <c r="J129" s="197"/>
      <c r="K129" s="197"/>
      <c r="L129" s="197"/>
      <c r="M129" s="197"/>
      <c r="N129" s="197"/>
      <c r="O129" s="197"/>
      <c r="P129" s="197"/>
      <c r="Q129" s="197"/>
      <c r="R129" s="197"/>
      <c r="S129" s="197"/>
      <c r="T129" s="261"/>
    </row>
    <row r="130" spans="1:20" ht="16.5" thickBot="1">
      <c r="A130" s="559">
        <f>A121+1</f>
        <v>14</v>
      </c>
      <c r="B130" s="474">
        <f>B121+10</f>
        <v>141</v>
      </c>
      <c r="C130" s="669" t="str">
        <f>VLOOKUP(A130,INputs!$G$3:$O$22,9,FALSE)</f>
        <v>Please fill out Sensitivity Labels Tab</v>
      </c>
      <c r="D130" s="54"/>
      <c r="E130" s="52" t="b">
        <v>0</v>
      </c>
      <c r="F130" s="53" t="s">
        <v>263</v>
      </c>
      <c r="G130" s="54"/>
      <c r="H130" s="664"/>
      <c r="I130" s="664"/>
      <c r="J130" s="55"/>
      <c r="K130" s="69" t="b">
        <v>0</v>
      </c>
      <c r="L130" s="55" t="s">
        <v>264</v>
      </c>
      <c r="M130" s="54"/>
      <c r="N130" s="413" t="s">
        <v>265</v>
      </c>
      <c r="O130" s="54"/>
      <c r="P130" s="665" t="s">
        <v>266</v>
      </c>
      <c r="Q130" s="665"/>
      <c r="R130" s="54"/>
      <c r="S130" s="666" t="s">
        <v>267</v>
      </c>
      <c r="T130" s="667"/>
    </row>
    <row r="131" spans="1:20" ht="15.95">
      <c r="A131" s="560"/>
      <c r="B131" s="201">
        <f>B130+1</f>
        <v>142</v>
      </c>
      <c r="C131" s="670"/>
      <c r="E131" s="56" t="b">
        <v>0</v>
      </c>
      <c r="F131" s="57" t="s">
        <v>268</v>
      </c>
      <c r="H131" s="39"/>
      <c r="I131" s="579" t="s">
        <v>141</v>
      </c>
      <c r="J131" s="579"/>
      <c r="K131" s="668" t="b">
        <v>0</v>
      </c>
      <c r="L131" s="585" t="s">
        <v>266</v>
      </c>
      <c r="N131" s="35" t="s">
        <v>142</v>
      </c>
      <c r="P131" s="40" t="b">
        <v>0</v>
      </c>
      <c r="Q131" s="39" t="s">
        <v>269</v>
      </c>
      <c r="S131" s="40" t="b">
        <v>0</v>
      </c>
      <c r="T131" s="64" t="s">
        <v>270</v>
      </c>
    </row>
    <row r="132" spans="1:20" ht="15.95">
      <c r="A132" s="560"/>
      <c r="B132" s="201">
        <f>B131+1</f>
        <v>143</v>
      </c>
      <c r="C132" s="670"/>
      <c r="E132" s="56" t="b">
        <v>0</v>
      </c>
      <c r="F132" s="57" t="s">
        <v>271</v>
      </c>
      <c r="H132" s="40" t="b">
        <v>0</v>
      </c>
      <c r="I132" s="585" t="s">
        <v>272</v>
      </c>
      <c r="J132" s="39"/>
      <c r="K132" s="668"/>
      <c r="L132" s="585"/>
      <c r="N132" s="39"/>
      <c r="P132" s="39"/>
      <c r="Q132" s="41"/>
      <c r="S132" s="662" t="s">
        <v>273</v>
      </c>
      <c r="T132" s="663"/>
    </row>
    <row r="133" spans="1:20">
      <c r="A133" s="560"/>
      <c r="B133" s="201">
        <f>B132+1</f>
        <v>144</v>
      </c>
      <c r="C133" s="670"/>
      <c r="H133" s="39"/>
      <c r="I133" s="585"/>
      <c r="J133" s="39"/>
      <c r="P133" s="40" t="b">
        <v>0</v>
      </c>
      <c r="Q133" s="39" t="s">
        <v>274</v>
      </c>
      <c r="S133" s="40" t="b">
        <v>0</v>
      </c>
      <c r="T133" s="64" t="s">
        <v>275</v>
      </c>
    </row>
    <row r="134" spans="1:20">
      <c r="A134" s="560"/>
      <c r="B134" s="201">
        <f>B133+1</f>
        <v>145</v>
      </c>
      <c r="C134" s="670"/>
      <c r="H134" s="39"/>
      <c r="I134" s="39"/>
      <c r="J134" s="39"/>
      <c r="Q134" s="21" t="s">
        <v>140</v>
      </c>
      <c r="S134" s="40" t="b">
        <v>0</v>
      </c>
      <c r="T134" s="64" t="s">
        <v>276</v>
      </c>
    </row>
    <row r="135" spans="1:20" ht="15" thickBot="1">
      <c r="A135" s="561"/>
      <c r="B135" s="201">
        <f>B134+1</f>
        <v>146</v>
      </c>
      <c r="C135" s="671"/>
      <c r="D135" s="59"/>
      <c r="E135" s="59"/>
      <c r="F135" s="59"/>
      <c r="G135" s="59"/>
      <c r="H135" s="66"/>
      <c r="I135" s="66"/>
      <c r="J135" s="66"/>
      <c r="K135" s="59"/>
      <c r="L135" s="59"/>
      <c r="M135" s="59"/>
      <c r="N135" s="59"/>
      <c r="O135" s="59"/>
      <c r="P135" s="59"/>
      <c r="Q135" s="60"/>
      <c r="R135" s="59"/>
      <c r="S135" s="108" t="b">
        <v>0</v>
      </c>
      <c r="T135" s="109" t="s">
        <v>277</v>
      </c>
    </row>
    <row r="136" spans="1:20" ht="15" hidden="1" thickBot="1">
      <c r="C136" s="260"/>
      <c r="D136" s="197"/>
      <c r="E136" s="197"/>
      <c r="F136" s="197"/>
      <c r="G136" s="197"/>
      <c r="H136" s="197"/>
      <c r="I136" s="197"/>
      <c r="J136" s="197"/>
      <c r="K136" s="197"/>
      <c r="L136" s="197"/>
      <c r="M136" s="197"/>
      <c r="N136" s="197"/>
      <c r="O136" s="197"/>
      <c r="P136" s="197"/>
      <c r="Q136" s="197"/>
      <c r="R136" s="197"/>
      <c r="S136" s="197"/>
      <c r="T136" s="261"/>
    </row>
    <row r="137" spans="1:20" ht="3.6" customHeight="1" thickBot="1">
      <c r="C137" s="260"/>
      <c r="D137" s="197"/>
      <c r="E137" s="197"/>
      <c r="F137" s="197"/>
      <c r="G137" s="197"/>
      <c r="H137" s="197"/>
      <c r="I137" s="197"/>
      <c r="J137" s="197"/>
      <c r="K137" s="197"/>
      <c r="L137" s="197"/>
      <c r="M137" s="197"/>
      <c r="N137" s="197"/>
      <c r="O137" s="197"/>
      <c r="P137" s="197"/>
      <c r="Q137" s="197"/>
      <c r="R137" s="197"/>
      <c r="S137" s="197"/>
      <c r="T137" s="261"/>
    </row>
    <row r="138" spans="1:20" ht="15" hidden="1" thickBot="1">
      <c r="C138" s="260"/>
      <c r="D138" s="197"/>
      <c r="E138" s="197"/>
      <c r="F138" s="197"/>
      <c r="G138" s="197"/>
      <c r="H138" s="197"/>
      <c r="I138" s="197"/>
      <c r="J138" s="197"/>
      <c r="K138" s="197"/>
      <c r="L138" s="197"/>
      <c r="M138" s="197"/>
      <c r="N138" s="197"/>
      <c r="O138" s="197"/>
      <c r="P138" s="197"/>
      <c r="Q138" s="197"/>
      <c r="R138" s="197"/>
      <c r="S138" s="197"/>
      <c r="T138" s="261"/>
    </row>
    <row r="139" spans="1:20" ht="16.5" thickBot="1">
      <c r="A139" s="559">
        <f>A130+1</f>
        <v>15</v>
      </c>
      <c r="B139" s="474">
        <f>B130+10</f>
        <v>151</v>
      </c>
      <c r="C139" s="669" t="str">
        <f>VLOOKUP(A139,INputs!$G$3:$O$22,9,FALSE)</f>
        <v>Please fill out Sensitivity Labels Tab</v>
      </c>
      <c r="D139" s="54"/>
      <c r="E139" s="52" t="b">
        <v>0</v>
      </c>
      <c r="F139" s="53" t="s">
        <v>263</v>
      </c>
      <c r="G139" s="54"/>
      <c r="H139" s="664"/>
      <c r="I139" s="664"/>
      <c r="J139" s="55"/>
      <c r="K139" s="69" t="b">
        <v>0</v>
      </c>
      <c r="L139" s="55" t="s">
        <v>264</v>
      </c>
      <c r="M139" s="54"/>
      <c r="N139" s="413" t="s">
        <v>265</v>
      </c>
      <c r="O139" s="54"/>
      <c r="P139" s="665" t="s">
        <v>266</v>
      </c>
      <c r="Q139" s="665"/>
      <c r="R139" s="54"/>
      <c r="S139" s="666" t="s">
        <v>267</v>
      </c>
      <c r="T139" s="667"/>
    </row>
    <row r="140" spans="1:20" ht="15.95">
      <c r="A140" s="560"/>
      <c r="B140" s="201">
        <f>B139+1</f>
        <v>152</v>
      </c>
      <c r="C140" s="670"/>
      <c r="E140" s="56" t="b">
        <v>0</v>
      </c>
      <c r="F140" s="57" t="s">
        <v>268</v>
      </c>
      <c r="H140" s="39"/>
      <c r="I140" s="579" t="s">
        <v>141</v>
      </c>
      <c r="J140" s="579"/>
      <c r="K140" s="668" t="b">
        <v>0</v>
      </c>
      <c r="L140" s="585" t="s">
        <v>266</v>
      </c>
      <c r="N140" s="35" t="s">
        <v>142</v>
      </c>
      <c r="P140" s="40" t="b">
        <v>0</v>
      </c>
      <c r="Q140" s="39" t="s">
        <v>269</v>
      </c>
      <c r="S140" s="40" t="b">
        <v>0</v>
      </c>
      <c r="T140" s="64" t="s">
        <v>270</v>
      </c>
    </row>
    <row r="141" spans="1:20" ht="15.95">
      <c r="A141" s="560"/>
      <c r="B141" s="201">
        <f>B140+1</f>
        <v>153</v>
      </c>
      <c r="C141" s="670"/>
      <c r="E141" s="56" t="b">
        <v>0</v>
      </c>
      <c r="F141" s="57" t="s">
        <v>271</v>
      </c>
      <c r="H141" s="40" t="b">
        <v>0</v>
      </c>
      <c r="I141" s="585" t="s">
        <v>272</v>
      </c>
      <c r="J141" s="39"/>
      <c r="K141" s="668"/>
      <c r="L141" s="585"/>
      <c r="N141" s="39"/>
      <c r="P141" s="39"/>
      <c r="Q141" s="41"/>
      <c r="S141" s="662" t="s">
        <v>273</v>
      </c>
      <c r="T141" s="663"/>
    </row>
    <row r="142" spans="1:20">
      <c r="A142" s="560"/>
      <c r="B142" s="201">
        <f>B141+1</f>
        <v>154</v>
      </c>
      <c r="C142" s="670"/>
      <c r="H142" s="39"/>
      <c r="I142" s="585"/>
      <c r="J142" s="39"/>
      <c r="P142" s="40" t="b">
        <v>0</v>
      </c>
      <c r="Q142" s="39" t="s">
        <v>274</v>
      </c>
      <c r="S142" s="40" t="b">
        <v>0</v>
      </c>
      <c r="T142" s="64" t="s">
        <v>275</v>
      </c>
    </row>
    <row r="143" spans="1:20">
      <c r="A143" s="560"/>
      <c r="B143" s="201">
        <f>B142+1</f>
        <v>155</v>
      </c>
      <c r="C143" s="670"/>
      <c r="H143" s="39"/>
      <c r="I143" s="39"/>
      <c r="J143" s="39"/>
      <c r="Q143" s="21" t="s">
        <v>140</v>
      </c>
      <c r="S143" s="40" t="b">
        <v>0</v>
      </c>
      <c r="T143" s="64" t="s">
        <v>276</v>
      </c>
    </row>
    <row r="144" spans="1:20" ht="15" thickBot="1">
      <c r="A144" s="561"/>
      <c r="B144" s="201">
        <f>B143+1</f>
        <v>156</v>
      </c>
      <c r="C144" s="671"/>
      <c r="D144" s="59"/>
      <c r="E144" s="59"/>
      <c r="F144" s="59"/>
      <c r="G144" s="59"/>
      <c r="H144" s="66"/>
      <c r="I144" s="66"/>
      <c r="J144" s="66"/>
      <c r="K144" s="59"/>
      <c r="L144" s="59"/>
      <c r="M144" s="59"/>
      <c r="N144" s="59"/>
      <c r="O144" s="59"/>
      <c r="P144" s="59"/>
      <c r="Q144" s="60"/>
      <c r="R144" s="59"/>
      <c r="S144" s="108" t="b">
        <v>0</v>
      </c>
      <c r="T144" s="109" t="s">
        <v>277</v>
      </c>
    </row>
    <row r="145" spans="1:20" ht="15" hidden="1" thickBot="1">
      <c r="C145" s="260"/>
      <c r="D145" s="197"/>
      <c r="E145" s="197"/>
      <c r="F145" s="197"/>
      <c r="G145" s="197"/>
      <c r="H145" s="197"/>
      <c r="I145" s="197"/>
      <c r="J145" s="197"/>
      <c r="K145" s="197"/>
      <c r="L145" s="197"/>
      <c r="M145" s="197"/>
      <c r="N145" s="197"/>
      <c r="O145" s="197"/>
      <c r="P145" s="197"/>
      <c r="Q145" s="197"/>
      <c r="R145" s="197"/>
      <c r="S145" s="197"/>
      <c r="T145" s="261"/>
    </row>
    <row r="146" spans="1:20" ht="3.6" customHeight="1" thickBot="1">
      <c r="C146" s="260"/>
      <c r="D146" s="197"/>
      <c r="E146" s="197"/>
      <c r="F146" s="197"/>
      <c r="G146" s="197"/>
      <c r="H146" s="197"/>
      <c r="I146" s="197"/>
      <c r="J146" s="197"/>
      <c r="K146" s="197"/>
      <c r="L146" s="197"/>
      <c r="M146" s="197"/>
      <c r="N146" s="197"/>
      <c r="O146" s="197"/>
      <c r="P146" s="197"/>
      <c r="Q146" s="197"/>
      <c r="R146" s="197"/>
      <c r="S146" s="197"/>
      <c r="T146" s="261"/>
    </row>
    <row r="147" spans="1:20" ht="15" hidden="1" thickBot="1">
      <c r="C147" s="260"/>
      <c r="D147" s="197"/>
      <c r="E147" s="197"/>
      <c r="F147" s="197"/>
      <c r="G147" s="197"/>
      <c r="H147" s="197"/>
      <c r="I147" s="197"/>
      <c r="J147" s="197"/>
      <c r="K147" s="197"/>
      <c r="L147" s="197"/>
      <c r="M147" s="197"/>
      <c r="N147" s="197"/>
      <c r="O147" s="197"/>
      <c r="P147" s="197"/>
      <c r="Q147" s="197"/>
      <c r="R147" s="197"/>
      <c r="S147" s="197"/>
      <c r="T147" s="261"/>
    </row>
    <row r="148" spans="1:20" ht="16.5" thickBot="1">
      <c r="A148" s="559">
        <f>A139+1</f>
        <v>16</v>
      </c>
      <c r="B148" s="474">
        <f>B139+10</f>
        <v>161</v>
      </c>
      <c r="C148" s="669" t="str">
        <f>VLOOKUP(A148,INputs!$G$3:$O$22,9,FALSE)</f>
        <v>Please fill out Sensitivity Labels Tab</v>
      </c>
      <c r="D148" s="54"/>
      <c r="E148" s="52" t="b">
        <v>0</v>
      </c>
      <c r="F148" s="53" t="s">
        <v>263</v>
      </c>
      <c r="G148" s="54"/>
      <c r="H148" s="664"/>
      <c r="I148" s="664"/>
      <c r="J148" s="55"/>
      <c r="K148" s="69" t="b">
        <v>0</v>
      </c>
      <c r="L148" s="55" t="s">
        <v>264</v>
      </c>
      <c r="M148" s="54"/>
      <c r="N148" s="413" t="s">
        <v>265</v>
      </c>
      <c r="O148" s="54"/>
      <c r="P148" s="665" t="s">
        <v>266</v>
      </c>
      <c r="Q148" s="665"/>
      <c r="R148" s="54"/>
      <c r="S148" s="666" t="s">
        <v>267</v>
      </c>
      <c r="T148" s="667"/>
    </row>
    <row r="149" spans="1:20" ht="15.95">
      <c r="A149" s="560"/>
      <c r="B149" s="201">
        <f>B148+1</f>
        <v>162</v>
      </c>
      <c r="C149" s="670"/>
      <c r="E149" s="56" t="b">
        <v>0</v>
      </c>
      <c r="F149" s="57" t="s">
        <v>268</v>
      </c>
      <c r="H149" s="39"/>
      <c r="I149" s="579" t="s">
        <v>141</v>
      </c>
      <c r="J149" s="579"/>
      <c r="K149" s="668" t="b">
        <v>0</v>
      </c>
      <c r="L149" s="585" t="s">
        <v>266</v>
      </c>
      <c r="N149" s="35" t="s">
        <v>142</v>
      </c>
      <c r="P149" s="40" t="b">
        <v>0</v>
      </c>
      <c r="Q149" s="39" t="s">
        <v>269</v>
      </c>
      <c r="S149" s="40" t="b">
        <v>0</v>
      </c>
      <c r="T149" s="64" t="s">
        <v>270</v>
      </c>
    </row>
    <row r="150" spans="1:20" ht="15.95">
      <c r="A150" s="560"/>
      <c r="B150" s="201">
        <f>B149+1</f>
        <v>163</v>
      </c>
      <c r="C150" s="670"/>
      <c r="E150" s="56" t="b">
        <v>0</v>
      </c>
      <c r="F150" s="57" t="s">
        <v>271</v>
      </c>
      <c r="H150" s="40" t="b">
        <v>0</v>
      </c>
      <c r="I150" s="585" t="s">
        <v>272</v>
      </c>
      <c r="J150" s="39"/>
      <c r="K150" s="668"/>
      <c r="L150" s="585"/>
      <c r="N150" s="39" t="s">
        <v>23</v>
      </c>
      <c r="P150" s="39"/>
      <c r="Q150" s="41"/>
      <c r="S150" s="662" t="s">
        <v>273</v>
      </c>
      <c r="T150" s="663"/>
    </row>
    <row r="151" spans="1:20">
      <c r="A151" s="560"/>
      <c r="B151" s="201">
        <f>B150+1</f>
        <v>164</v>
      </c>
      <c r="C151" s="670"/>
      <c r="H151" s="39"/>
      <c r="I151" s="585"/>
      <c r="J151" s="39"/>
      <c r="P151" s="40" t="b">
        <v>0</v>
      </c>
      <c r="Q151" s="39" t="s">
        <v>274</v>
      </c>
      <c r="S151" s="40" t="b">
        <v>0</v>
      </c>
      <c r="T151" s="64" t="s">
        <v>275</v>
      </c>
    </row>
    <row r="152" spans="1:20">
      <c r="A152" s="560"/>
      <c r="B152" s="201">
        <f>B151+1</f>
        <v>165</v>
      </c>
      <c r="C152" s="670"/>
      <c r="H152" s="39"/>
      <c r="I152" s="39"/>
      <c r="J152" s="39"/>
      <c r="Q152" s="21" t="s">
        <v>140</v>
      </c>
      <c r="S152" s="40" t="b">
        <v>0</v>
      </c>
      <c r="T152" s="64" t="s">
        <v>276</v>
      </c>
    </row>
    <row r="153" spans="1:20" ht="15" thickBot="1">
      <c r="A153" s="561"/>
      <c r="B153" s="201">
        <f>B152+1</f>
        <v>166</v>
      </c>
      <c r="C153" s="671"/>
      <c r="D153" s="59"/>
      <c r="E153" s="59"/>
      <c r="F153" s="59"/>
      <c r="G153" s="59"/>
      <c r="H153" s="66"/>
      <c r="I153" s="66"/>
      <c r="J153" s="66"/>
      <c r="K153" s="59"/>
      <c r="L153" s="59"/>
      <c r="M153" s="59"/>
      <c r="N153" s="59"/>
      <c r="O153" s="59"/>
      <c r="P153" s="59"/>
      <c r="Q153" s="60"/>
      <c r="R153" s="59"/>
      <c r="S153" s="108" t="b">
        <v>0</v>
      </c>
      <c r="T153" s="109" t="s">
        <v>277</v>
      </c>
    </row>
    <row r="154" spans="1:20" ht="15" hidden="1" thickBot="1">
      <c r="C154" s="260"/>
      <c r="D154" s="197"/>
      <c r="E154" s="197"/>
      <c r="F154" s="197"/>
      <c r="G154" s="197"/>
      <c r="H154" s="197"/>
      <c r="I154" s="197"/>
      <c r="J154" s="197"/>
      <c r="K154" s="197"/>
      <c r="L154" s="197"/>
      <c r="M154" s="197"/>
      <c r="N154" s="197"/>
      <c r="O154" s="197"/>
      <c r="P154" s="197"/>
      <c r="Q154" s="197"/>
      <c r="R154" s="197"/>
      <c r="S154" s="197"/>
      <c r="T154" s="261"/>
    </row>
    <row r="155" spans="1:20" ht="3.6" customHeight="1" thickBot="1">
      <c r="C155" s="260"/>
      <c r="D155" s="197"/>
      <c r="E155" s="197"/>
      <c r="F155" s="197"/>
      <c r="G155" s="197"/>
      <c r="H155" s="197"/>
      <c r="I155" s="197"/>
      <c r="J155" s="197"/>
      <c r="K155" s="197"/>
      <c r="L155" s="197"/>
      <c r="M155" s="197"/>
      <c r="N155" s="197"/>
      <c r="O155" s="197"/>
      <c r="P155" s="197"/>
      <c r="Q155" s="197"/>
      <c r="R155" s="197"/>
      <c r="S155" s="197"/>
      <c r="T155" s="261"/>
    </row>
    <row r="156" spans="1:20" ht="15" hidden="1" thickBot="1">
      <c r="C156" s="260"/>
      <c r="D156" s="197"/>
      <c r="E156" s="197"/>
      <c r="F156" s="197"/>
      <c r="G156" s="197"/>
      <c r="H156" s="197"/>
      <c r="I156" s="197"/>
      <c r="J156" s="197"/>
      <c r="K156" s="197"/>
      <c r="L156" s="197"/>
      <c r="M156" s="197"/>
      <c r="N156" s="197"/>
      <c r="O156" s="197"/>
      <c r="P156" s="197"/>
      <c r="Q156" s="197"/>
      <c r="R156" s="197"/>
      <c r="S156" s="197"/>
      <c r="T156" s="261"/>
    </row>
    <row r="157" spans="1:20" ht="16.5" thickBot="1">
      <c r="A157" s="559">
        <f>A148+1</f>
        <v>17</v>
      </c>
      <c r="B157" s="474">
        <f>B148+10</f>
        <v>171</v>
      </c>
      <c r="C157" s="669" t="str">
        <f>VLOOKUP(A157,INputs!$G$3:$O$22,9,FALSE)</f>
        <v>Please fill out Sensitivity Labels Tab</v>
      </c>
      <c r="D157" s="54"/>
      <c r="E157" s="52" t="b">
        <v>0</v>
      </c>
      <c r="F157" s="53" t="s">
        <v>263</v>
      </c>
      <c r="G157" s="54"/>
      <c r="H157" s="664"/>
      <c r="I157" s="664"/>
      <c r="J157" s="55"/>
      <c r="K157" s="69" t="b">
        <v>0</v>
      </c>
      <c r="L157" s="55" t="s">
        <v>264</v>
      </c>
      <c r="M157" s="54"/>
      <c r="N157" s="413" t="s">
        <v>265</v>
      </c>
      <c r="O157" s="54"/>
      <c r="P157" s="665" t="s">
        <v>266</v>
      </c>
      <c r="Q157" s="665"/>
      <c r="R157" s="54"/>
      <c r="S157" s="666" t="s">
        <v>267</v>
      </c>
      <c r="T157" s="667"/>
    </row>
    <row r="158" spans="1:20" ht="15.95">
      <c r="A158" s="560"/>
      <c r="B158" s="201">
        <f>B157+1</f>
        <v>172</v>
      </c>
      <c r="C158" s="670"/>
      <c r="E158" s="56" t="b">
        <v>0</v>
      </c>
      <c r="F158" s="57" t="s">
        <v>268</v>
      </c>
      <c r="H158" s="39"/>
      <c r="I158" s="579" t="s">
        <v>141</v>
      </c>
      <c r="J158" s="579"/>
      <c r="K158" s="668" t="b">
        <v>0</v>
      </c>
      <c r="L158" s="585" t="s">
        <v>266</v>
      </c>
      <c r="N158" s="35" t="s">
        <v>142</v>
      </c>
      <c r="P158" s="40" t="b">
        <v>0</v>
      </c>
      <c r="Q158" s="39" t="s">
        <v>269</v>
      </c>
      <c r="S158" s="40" t="b">
        <v>0</v>
      </c>
      <c r="T158" s="64" t="s">
        <v>270</v>
      </c>
    </row>
    <row r="159" spans="1:20" ht="15.95">
      <c r="A159" s="560"/>
      <c r="B159" s="201">
        <f>B158+1</f>
        <v>173</v>
      </c>
      <c r="C159" s="670"/>
      <c r="E159" s="56" t="b">
        <v>0</v>
      </c>
      <c r="F159" s="57" t="s">
        <v>271</v>
      </c>
      <c r="H159" s="40" t="b">
        <v>0</v>
      </c>
      <c r="I159" s="585" t="s">
        <v>272</v>
      </c>
      <c r="J159" s="39"/>
      <c r="K159" s="668"/>
      <c r="L159" s="585"/>
      <c r="N159" s="39"/>
      <c r="P159" s="39"/>
      <c r="Q159" s="41"/>
      <c r="S159" s="662" t="s">
        <v>273</v>
      </c>
      <c r="T159" s="663"/>
    </row>
    <row r="160" spans="1:20">
      <c r="A160" s="560"/>
      <c r="B160" s="201">
        <f>B159+1</f>
        <v>174</v>
      </c>
      <c r="C160" s="670"/>
      <c r="H160" s="39"/>
      <c r="I160" s="585"/>
      <c r="J160" s="39"/>
      <c r="P160" s="40" t="b">
        <v>0</v>
      </c>
      <c r="Q160" s="39" t="s">
        <v>274</v>
      </c>
      <c r="S160" s="40" t="b">
        <v>0</v>
      </c>
      <c r="T160" s="64" t="s">
        <v>275</v>
      </c>
    </row>
    <row r="161" spans="1:20">
      <c r="A161" s="560"/>
      <c r="B161" s="201">
        <f>B160+1</f>
        <v>175</v>
      </c>
      <c r="C161" s="670"/>
      <c r="H161" s="39"/>
      <c r="I161" s="39"/>
      <c r="J161" s="39"/>
      <c r="Q161" s="21" t="s">
        <v>140</v>
      </c>
      <c r="S161" s="40" t="b">
        <v>0</v>
      </c>
      <c r="T161" s="64" t="s">
        <v>276</v>
      </c>
    </row>
    <row r="162" spans="1:20" ht="15" thickBot="1">
      <c r="A162" s="561"/>
      <c r="B162" s="201">
        <f>B161+1</f>
        <v>176</v>
      </c>
      <c r="C162" s="671"/>
      <c r="D162" s="59"/>
      <c r="E162" s="59"/>
      <c r="F162" s="59"/>
      <c r="G162" s="59"/>
      <c r="H162" s="66"/>
      <c r="I162" s="66"/>
      <c r="J162" s="66"/>
      <c r="K162" s="59"/>
      <c r="L162" s="59"/>
      <c r="M162" s="59"/>
      <c r="N162" s="59"/>
      <c r="O162" s="59"/>
      <c r="P162" s="59"/>
      <c r="Q162" s="60"/>
      <c r="R162" s="59"/>
      <c r="S162" s="108" t="b">
        <v>0</v>
      </c>
      <c r="T162" s="109" t="s">
        <v>277</v>
      </c>
    </row>
    <row r="163" spans="1:20" ht="15" hidden="1" thickBot="1">
      <c r="C163" s="260"/>
      <c r="D163" s="197"/>
      <c r="E163" s="197"/>
      <c r="F163" s="197"/>
      <c r="G163" s="197"/>
      <c r="H163" s="197"/>
      <c r="I163" s="197"/>
      <c r="J163" s="197"/>
      <c r="K163" s="197"/>
      <c r="L163" s="197"/>
      <c r="M163" s="197"/>
      <c r="N163" s="197"/>
      <c r="O163" s="197"/>
      <c r="P163" s="197"/>
      <c r="Q163" s="197"/>
      <c r="R163" s="197"/>
      <c r="S163" s="197"/>
      <c r="T163" s="261"/>
    </row>
    <row r="164" spans="1:20" ht="3.6" customHeight="1" thickBot="1">
      <c r="C164" s="260"/>
      <c r="D164" s="197"/>
      <c r="E164" s="197"/>
      <c r="F164" s="197"/>
      <c r="G164" s="197"/>
      <c r="H164" s="197"/>
      <c r="I164" s="197"/>
      <c r="J164" s="197"/>
      <c r="K164" s="197"/>
      <c r="L164" s="197"/>
      <c r="M164" s="197"/>
      <c r="N164" s="197"/>
      <c r="O164" s="197"/>
      <c r="P164" s="197"/>
      <c r="Q164" s="197"/>
      <c r="R164" s="197"/>
      <c r="S164" s="197"/>
      <c r="T164" s="261"/>
    </row>
    <row r="165" spans="1:20" ht="15" hidden="1" thickBot="1">
      <c r="C165" s="260"/>
      <c r="D165" s="197"/>
      <c r="E165" s="197"/>
      <c r="F165" s="197"/>
      <c r="G165" s="197"/>
      <c r="H165" s="197"/>
      <c r="I165" s="197"/>
      <c r="J165" s="197"/>
      <c r="K165" s="197"/>
      <c r="L165" s="197"/>
      <c r="M165" s="197"/>
      <c r="N165" s="197"/>
      <c r="O165" s="197"/>
      <c r="P165" s="197"/>
      <c r="Q165" s="197"/>
      <c r="R165" s="197"/>
      <c r="S165" s="197"/>
      <c r="T165" s="261"/>
    </row>
    <row r="166" spans="1:20" ht="16.5" thickBot="1">
      <c r="A166" s="559">
        <f>A157+1</f>
        <v>18</v>
      </c>
      <c r="B166" s="474">
        <f>B157+10</f>
        <v>181</v>
      </c>
      <c r="C166" s="669" t="str">
        <f>VLOOKUP(A166,INputs!$G$3:$O$22,9,FALSE)</f>
        <v>Please fill out Sensitivity Labels Tab</v>
      </c>
      <c r="D166" s="54"/>
      <c r="E166" s="52" t="b">
        <v>0</v>
      </c>
      <c r="F166" s="53" t="s">
        <v>263</v>
      </c>
      <c r="G166" s="54"/>
      <c r="H166" s="664"/>
      <c r="I166" s="664"/>
      <c r="J166" s="55"/>
      <c r="K166" s="69" t="b">
        <v>0</v>
      </c>
      <c r="L166" s="55" t="s">
        <v>264</v>
      </c>
      <c r="M166" s="54"/>
      <c r="N166" s="413" t="s">
        <v>265</v>
      </c>
      <c r="O166" s="54"/>
      <c r="P166" s="665" t="s">
        <v>266</v>
      </c>
      <c r="Q166" s="665"/>
      <c r="R166" s="54"/>
      <c r="S166" s="666" t="s">
        <v>267</v>
      </c>
      <c r="T166" s="667"/>
    </row>
    <row r="167" spans="1:20" ht="15.95">
      <c r="A167" s="560"/>
      <c r="B167" s="201">
        <f>B166+1</f>
        <v>182</v>
      </c>
      <c r="C167" s="670"/>
      <c r="E167" s="56" t="b">
        <v>0</v>
      </c>
      <c r="F167" s="57" t="s">
        <v>268</v>
      </c>
      <c r="H167" s="39"/>
      <c r="I167" s="579" t="s">
        <v>141</v>
      </c>
      <c r="J167" s="579"/>
      <c r="K167" s="668" t="b">
        <v>0</v>
      </c>
      <c r="L167" s="585" t="s">
        <v>266</v>
      </c>
      <c r="N167" s="35" t="s">
        <v>142</v>
      </c>
      <c r="P167" s="40" t="b">
        <v>0</v>
      </c>
      <c r="Q167" s="39" t="s">
        <v>269</v>
      </c>
      <c r="S167" s="40" t="b">
        <v>0</v>
      </c>
      <c r="T167" s="64" t="s">
        <v>270</v>
      </c>
    </row>
    <row r="168" spans="1:20" ht="15.95">
      <c r="A168" s="560"/>
      <c r="B168" s="201">
        <f>B167+1</f>
        <v>183</v>
      </c>
      <c r="C168" s="670"/>
      <c r="E168" s="56" t="b">
        <v>0</v>
      </c>
      <c r="F168" s="57" t="s">
        <v>271</v>
      </c>
      <c r="H168" s="40" t="b">
        <v>0</v>
      </c>
      <c r="I168" s="585" t="s">
        <v>272</v>
      </c>
      <c r="J168" s="39"/>
      <c r="K168" s="668"/>
      <c r="L168" s="585"/>
      <c r="N168" s="39"/>
      <c r="P168" s="39"/>
      <c r="Q168" s="41"/>
      <c r="S168" s="662" t="s">
        <v>273</v>
      </c>
      <c r="T168" s="663"/>
    </row>
    <row r="169" spans="1:20">
      <c r="A169" s="560"/>
      <c r="B169" s="201">
        <f>B168+1</f>
        <v>184</v>
      </c>
      <c r="C169" s="670"/>
      <c r="H169" s="39"/>
      <c r="I169" s="585"/>
      <c r="J169" s="39"/>
      <c r="P169" s="40" t="b">
        <v>0</v>
      </c>
      <c r="Q169" s="39" t="s">
        <v>274</v>
      </c>
      <c r="S169" s="40" t="b">
        <v>0</v>
      </c>
      <c r="T169" s="64" t="s">
        <v>275</v>
      </c>
    </row>
    <row r="170" spans="1:20">
      <c r="A170" s="560"/>
      <c r="B170" s="201">
        <f>B169+1</f>
        <v>185</v>
      </c>
      <c r="C170" s="670"/>
      <c r="H170" s="39"/>
      <c r="I170" s="39"/>
      <c r="J170" s="39"/>
      <c r="Q170" s="21" t="s">
        <v>140</v>
      </c>
      <c r="S170" s="40" t="b">
        <v>0</v>
      </c>
      <c r="T170" s="64" t="s">
        <v>276</v>
      </c>
    </row>
    <row r="171" spans="1:20" ht="15" thickBot="1">
      <c r="A171" s="561"/>
      <c r="B171" s="201">
        <f>B170+1</f>
        <v>186</v>
      </c>
      <c r="C171" s="671"/>
      <c r="D171" s="59"/>
      <c r="E171" s="59"/>
      <c r="F171" s="59"/>
      <c r="G171" s="59"/>
      <c r="H171" s="66"/>
      <c r="I171" s="66"/>
      <c r="J171" s="66"/>
      <c r="K171" s="59"/>
      <c r="L171" s="59"/>
      <c r="M171" s="59"/>
      <c r="N171" s="59"/>
      <c r="O171" s="59"/>
      <c r="P171" s="59"/>
      <c r="Q171" s="60"/>
      <c r="R171" s="59"/>
      <c r="S171" s="108" t="b">
        <v>0</v>
      </c>
      <c r="T171" s="109" t="s">
        <v>277</v>
      </c>
    </row>
    <row r="172" spans="1:20" ht="15" hidden="1" thickBot="1">
      <c r="C172" s="260"/>
      <c r="D172" s="197"/>
      <c r="E172" s="197"/>
      <c r="F172" s="197"/>
      <c r="G172" s="197"/>
      <c r="H172" s="197"/>
      <c r="I172" s="197"/>
      <c r="J172" s="197"/>
      <c r="K172" s="197"/>
      <c r="L172" s="197"/>
      <c r="M172" s="197"/>
      <c r="N172" s="197"/>
      <c r="O172" s="197"/>
      <c r="P172" s="197"/>
      <c r="Q172" s="197"/>
      <c r="R172" s="197"/>
      <c r="S172" s="197"/>
      <c r="T172" s="261"/>
    </row>
    <row r="173" spans="1:20" ht="3.6" customHeight="1" thickBot="1">
      <c r="C173" s="260"/>
      <c r="D173" s="197"/>
      <c r="E173" s="197"/>
      <c r="F173" s="197"/>
      <c r="G173" s="197"/>
      <c r="H173" s="197"/>
      <c r="I173" s="197"/>
      <c r="J173" s="197"/>
      <c r="K173" s="197"/>
      <c r="L173" s="197"/>
      <c r="M173" s="197"/>
      <c r="N173" s="197"/>
      <c r="O173" s="197"/>
      <c r="P173" s="197"/>
      <c r="Q173" s="197"/>
      <c r="R173" s="197"/>
      <c r="S173" s="197"/>
      <c r="T173" s="261"/>
    </row>
    <row r="174" spans="1:20" ht="15" hidden="1" thickBot="1">
      <c r="C174" s="260"/>
      <c r="D174" s="197"/>
      <c r="E174" s="197"/>
      <c r="F174" s="197"/>
      <c r="G174" s="197"/>
      <c r="H174" s="197"/>
      <c r="I174" s="197"/>
      <c r="J174" s="197"/>
      <c r="K174" s="197"/>
      <c r="L174" s="197"/>
      <c r="M174" s="197"/>
      <c r="N174" s="197"/>
      <c r="O174" s="197"/>
      <c r="P174" s="197"/>
      <c r="Q174" s="197"/>
      <c r="R174" s="197"/>
      <c r="S174" s="197"/>
      <c r="T174" s="261"/>
    </row>
    <row r="175" spans="1:20" ht="16.5" thickBot="1">
      <c r="A175" s="559">
        <f>A166+1</f>
        <v>19</v>
      </c>
      <c r="B175" s="474">
        <f>B166+10</f>
        <v>191</v>
      </c>
      <c r="C175" s="669" t="str">
        <f>VLOOKUP(A175,INputs!$G$3:$O$22,9,FALSE)</f>
        <v>Please fill out Sensitivity Labels Tab</v>
      </c>
      <c r="D175" s="54"/>
      <c r="E175" s="52" t="b">
        <v>0</v>
      </c>
      <c r="F175" s="53" t="s">
        <v>263</v>
      </c>
      <c r="G175" s="54"/>
      <c r="H175" s="664"/>
      <c r="I175" s="664"/>
      <c r="J175" s="55"/>
      <c r="K175" s="69" t="b">
        <v>0</v>
      </c>
      <c r="L175" s="55" t="s">
        <v>264</v>
      </c>
      <c r="M175" s="54"/>
      <c r="N175" s="413" t="s">
        <v>265</v>
      </c>
      <c r="O175" s="54"/>
      <c r="P175" s="665" t="s">
        <v>266</v>
      </c>
      <c r="Q175" s="665"/>
      <c r="R175" s="54"/>
      <c r="S175" s="666" t="s">
        <v>267</v>
      </c>
      <c r="T175" s="667"/>
    </row>
    <row r="176" spans="1:20" ht="15.95">
      <c r="A176" s="560"/>
      <c r="B176" s="201">
        <f>B175+1</f>
        <v>192</v>
      </c>
      <c r="C176" s="670"/>
      <c r="E176" s="56" t="b">
        <v>0</v>
      </c>
      <c r="F176" s="57" t="s">
        <v>268</v>
      </c>
      <c r="H176" s="39"/>
      <c r="I176" s="579" t="s">
        <v>141</v>
      </c>
      <c r="J176" s="579"/>
      <c r="K176" s="668" t="b">
        <v>0</v>
      </c>
      <c r="L176" s="585" t="s">
        <v>266</v>
      </c>
      <c r="N176" s="35" t="s">
        <v>142</v>
      </c>
      <c r="P176" s="40" t="b">
        <v>0</v>
      </c>
      <c r="Q176" s="39" t="s">
        <v>269</v>
      </c>
      <c r="S176" s="40" t="b">
        <v>0</v>
      </c>
      <c r="T176" s="64" t="s">
        <v>270</v>
      </c>
    </row>
    <row r="177" spans="1:20" ht="15.95">
      <c r="A177" s="560"/>
      <c r="B177" s="201">
        <f>B176+1</f>
        <v>193</v>
      </c>
      <c r="C177" s="670"/>
      <c r="E177" s="56" t="b">
        <v>0</v>
      </c>
      <c r="F177" s="57" t="s">
        <v>271</v>
      </c>
      <c r="H177" s="40" t="b">
        <v>0</v>
      </c>
      <c r="I177" s="585" t="s">
        <v>272</v>
      </c>
      <c r="J177" s="39"/>
      <c r="K177" s="668"/>
      <c r="L177" s="585"/>
      <c r="N177" s="39"/>
      <c r="P177" s="39"/>
      <c r="Q177" s="41"/>
      <c r="S177" s="662" t="s">
        <v>273</v>
      </c>
      <c r="T177" s="663"/>
    </row>
    <row r="178" spans="1:20">
      <c r="A178" s="560"/>
      <c r="B178" s="201">
        <f>B177+1</f>
        <v>194</v>
      </c>
      <c r="C178" s="670"/>
      <c r="H178" s="39"/>
      <c r="I178" s="585"/>
      <c r="J178" s="39"/>
      <c r="P178" s="40" t="b">
        <v>0</v>
      </c>
      <c r="Q178" s="39" t="s">
        <v>274</v>
      </c>
      <c r="S178" s="40" t="b">
        <v>0</v>
      </c>
      <c r="T178" s="64" t="s">
        <v>275</v>
      </c>
    </row>
    <row r="179" spans="1:20">
      <c r="A179" s="560"/>
      <c r="B179" s="201">
        <f>B178+1</f>
        <v>195</v>
      </c>
      <c r="C179" s="670"/>
      <c r="H179" s="39"/>
      <c r="I179" s="39"/>
      <c r="J179" s="39"/>
      <c r="Q179" s="21" t="s">
        <v>140</v>
      </c>
      <c r="S179" s="40" t="b">
        <v>0</v>
      </c>
      <c r="T179" s="64" t="s">
        <v>276</v>
      </c>
    </row>
    <row r="180" spans="1:20" ht="15" thickBot="1">
      <c r="A180" s="561"/>
      <c r="B180" s="201">
        <f>B179+1</f>
        <v>196</v>
      </c>
      <c r="C180" s="671"/>
      <c r="D180" s="59"/>
      <c r="E180" s="59"/>
      <c r="F180" s="59"/>
      <c r="G180" s="59"/>
      <c r="H180" s="66"/>
      <c r="I180" s="66"/>
      <c r="J180" s="66"/>
      <c r="K180" s="59"/>
      <c r="L180" s="59"/>
      <c r="M180" s="59"/>
      <c r="N180" s="59"/>
      <c r="O180" s="59"/>
      <c r="P180" s="59"/>
      <c r="Q180" s="60"/>
      <c r="R180" s="59"/>
      <c r="S180" s="108" t="b">
        <v>0</v>
      </c>
      <c r="T180" s="109" t="s">
        <v>277</v>
      </c>
    </row>
    <row r="181" spans="1:20" ht="15" hidden="1" thickBot="1">
      <c r="C181" s="260"/>
      <c r="D181" s="197"/>
      <c r="E181" s="197"/>
      <c r="F181" s="197"/>
      <c r="G181" s="197"/>
      <c r="H181" s="197"/>
      <c r="I181" s="197"/>
      <c r="J181" s="197"/>
      <c r="K181" s="197"/>
      <c r="L181" s="197"/>
      <c r="M181" s="197"/>
      <c r="N181" s="197"/>
      <c r="O181" s="197"/>
      <c r="P181" s="197"/>
      <c r="Q181" s="197"/>
      <c r="R181" s="197"/>
      <c r="S181" s="197"/>
      <c r="T181" s="261"/>
    </row>
    <row r="182" spans="1:20" ht="3.6" customHeight="1" thickBot="1">
      <c r="C182" s="260"/>
      <c r="D182" s="197"/>
      <c r="E182" s="197"/>
      <c r="F182" s="197"/>
      <c r="G182" s="197"/>
      <c r="H182" s="197"/>
      <c r="I182" s="197"/>
      <c r="J182" s="197"/>
      <c r="K182" s="197"/>
      <c r="L182" s="197"/>
      <c r="M182" s="197"/>
      <c r="N182" s="197"/>
      <c r="O182" s="197"/>
      <c r="P182" s="197"/>
      <c r="Q182" s="197"/>
      <c r="R182" s="197"/>
      <c r="S182" s="197"/>
      <c r="T182" s="261"/>
    </row>
    <row r="183" spans="1:20" ht="15" hidden="1" thickBot="1">
      <c r="C183" s="260"/>
      <c r="D183" s="197"/>
      <c r="E183" s="197"/>
      <c r="F183" s="197"/>
      <c r="G183" s="197"/>
      <c r="H183" s="197"/>
      <c r="I183" s="197"/>
      <c r="J183" s="197"/>
      <c r="K183" s="197"/>
      <c r="L183" s="197"/>
      <c r="M183" s="197"/>
      <c r="N183" s="197"/>
      <c r="O183" s="197"/>
      <c r="P183" s="197"/>
      <c r="Q183" s="197"/>
      <c r="R183" s="197"/>
      <c r="S183" s="197"/>
      <c r="T183" s="261"/>
    </row>
    <row r="184" spans="1:20" ht="16.5" customHeight="1" thickBot="1">
      <c r="A184" s="559">
        <f>A175+1</f>
        <v>20</v>
      </c>
      <c r="B184" s="474">
        <f>B175+10</f>
        <v>201</v>
      </c>
      <c r="C184" s="669" t="str">
        <f>VLOOKUP(A184,INputs!$G$3:$O$22,9,FALSE)</f>
        <v>Please fill out Sensitivity Labels Tab</v>
      </c>
      <c r="D184" s="54"/>
      <c r="E184" s="52" t="b">
        <v>0</v>
      </c>
      <c r="F184" s="53" t="s">
        <v>263</v>
      </c>
      <c r="G184" s="54"/>
      <c r="H184" s="664"/>
      <c r="I184" s="664"/>
      <c r="J184" s="55"/>
      <c r="K184" s="69" t="b">
        <v>0</v>
      </c>
      <c r="L184" s="55" t="s">
        <v>264</v>
      </c>
      <c r="M184" s="54"/>
      <c r="N184" s="413" t="s">
        <v>265</v>
      </c>
      <c r="O184" s="54"/>
      <c r="P184" s="665" t="s">
        <v>266</v>
      </c>
      <c r="Q184" s="665"/>
      <c r="R184" s="54"/>
      <c r="S184" s="666" t="s">
        <v>267</v>
      </c>
      <c r="T184" s="667"/>
    </row>
    <row r="185" spans="1:20" ht="15.95">
      <c r="A185" s="560"/>
      <c r="B185" s="201">
        <f>B184+1</f>
        <v>202</v>
      </c>
      <c r="C185" s="670"/>
      <c r="E185" s="56" t="b">
        <v>0</v>
      </c>
      <c r="F185" s="57" t="s">
        <v>268</v>
      </c>
      <c r="H185" s="39"/>
      <c r="I185" s="579" t="s">
        <v>141</v>
      </c>
      <c r="J185" s="579"/>
      <c r="K185" s="668" t="b">
        <v>0</v>
      </c>
      <c r="L185" s="585" t="s">
        <v>266</v>
      </c>
      <c r="N185" s="35" t="s">
        <v>142</v>
      </c>
      <c r="P185" s="40" t="b">
        <v>0</v>
      </c>
      <c r="Q185" s="39" t="s">
        <v>269</v>
      </c>
      <c r="S185" s="40" t="b">
        <v>0</v>
      </c>
      <c r="T185" s="64" t="s">
        <v>270</v>
      </c>
    </row>
    <row r="186" spans="1:20" ht="15.95">
      <c r="A186" s="560"/>
      <c r="B186" s="201">
        <f>B185+1</f>
        <v>203</v>
      </c>
      <c r="C186" s="670"/>
      <c r="E186" s="56" t="b">
        <v>0</v>
      </c>
      <c r="F186" s="57" t="s">
        <v>271</v>
      </c>
      <c r="H186" s="40" t="b">
        <v>0</v>
      </c>
      <c r="I186" s="585" t="s">
        <v>272</v>
      </c>
      <c r="J186" s="39"/>
      <c r="K186" s="668"/>
      <c r="L186" s="585"/>
      <c r="N186" s="39"/>
      <c r="P186" s="39"/>
      <c r="Q186" s="41"/>
      <c r="S186" s="662" t="s">
        <v>273</v>
      </c>
      <c r="T186" s="663"/>
    </row>
    <row r="187" spans="1:20">
      <c r="A187" s="560"/>
      <c r="B187" s="201">
        <f>B186+1</f>
        <v>204</v>
      </c>
      <c r="C187" s="670"/>
      <c r="H187" s="39"/>
      <c r="I187" s="585"/>
      <c r="J187" s="39"/>
      <c r="P187" s="40" t="b">
        <v>0</v>
      </c>
      <c r="Q187" s="39" t="s">
        <v>274</v>
      </c>
      <c r="S187" s="40" t="b">
        <v>0</v>
      </c>
      <c r="T187" s="64" t="s">
        <v>275</v>
      </c>
    </row>
    <row r="188" spans="1:20">
      <c r="A188" s="560"/>
      <c r="B188" s="201">
        <f>B187+1</f>
        <v>205</v>
      </c>
      <c r="C188" s="670"/>
      <c r="H188" s="39"/>
      <c r="I188" s="39"/>
      <c r="J188" s="39"/>
      <c r="Q188" s="21" t="s">
        <v>140</v>
      </c>
      <c r="S188" s="40" t="b">
        <v>0</v>
      </c>
      <c r="T188" s="64" t="s">
        <v>276</v>
      </c>
    </row>
    <row r="189" spans="1:20" ht="15" thickBot="1">
      <c r="A189" s="561"/>
      <c r="B189" s="201">
        <f>B188+1</f>
        <v>206</v>
      </c>
      <c r="C189" s="671"/>
      <c r="D189" s="59"/>
      <c r="E189" s="59"/>
      <c r="F189" s="59"/>
      <c r="G189" s="59"/>
      <c r="H189" s="66"/>
      <c r="I189" s="66"/>
      <c r="J189" s="66"/>
      <c r="K189" s="59"/>
      <c r="L189" s="59"/>
      <c r="M189" s="59"/>
      <c r="N189" s="59"/>
      <c r="O189" s="59"/>
      <c r="P189" s="59"/>
      <c r="Q189" s="60"/>
      <c r="R189" s="59"/>
      <c r="S189" s="108" t="b">
        <v>0</v>
      </c>
      <c r="T189" s="109" t="s">
        <v>277</v>
      </c>
    </row>
    <row r="190" spans="1:20" ht="15" hidden="1" thickBot="1">
      <c r="C190" s="260"/>
      <c r="D190" s="197"/>
      <c r="E190" s="197"/>
      <c r="F190" s="197"/>
      <c r="G190" s="197"/>
      <c r="H190" s="197"/>
      <c r="I190" s="197"/>
      <c r="J190" s="197"/>
      <c r="K190" s="197"/>
      <c r="L190" s="197"/>
      <c r="M190" s="197"/>
      <c r="N190" s="197"/>
      <c r="O190" s="197"/>
      <c r="P190" s="197"/>
      <c r="Q190" s="197"/>
      <c r="R190" s="197"/>
      <c r="S190" s="197" t="b">
        <v>0</v>
      </c>
      <c r="T190" s="261"/>
    </row>
    <row r="191" spans="1:20" ht="6" customHeight="1" thickBot="1">
      <c r="C191" s="260"/>
      <c r="D191" s="197"/>
      <c r="E191" s="197"/>
      <c r="F191" s="197"/>
      <c r="G191" s="197"/>
      <c r="H191" s="197"/>
      <c r="I191" s="197"/>
      <c r="J191" s="197"/>
      <c r="K191" s="197"/>
      <c r="L191" s="197"/>
      <c r="M191" s="197"/>
      <c r="N191" s="197"/>
      <c r="O191" s="197"/>
      <c r="P191" s="197"/>
      <c r="Q191" s="197"/>
      <c r="R191" s="197"/>
      <c r="S191" s="197"/>
      <c r="T191" s="261"/>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467" priority="632">
      <formula>E13=TRUE</formula>
    </cfRule>
  </conditionalFormatting>
  <conditionalFormatting sqref="H24">
    <cfRule type="expression" dxfId="1466" priority="628">
      <formula>E22=TRUE</formula>
    </cfRule>
  </conditionalFormatting>
  <conditionalFormatting sqref="H33">
    <cfRule type="expression" dxfId="1465" priority="624">
      <formula>E31=TRUE</formula>
    </cfRule>
  </conditionalFormatting>
  <conditionalFormatting sqref="H42">
    <cfRule type="expression" dxfId="1464" priority="620">
      <formula>E40=TRUE</formula>
    </cfRule>
  </conditionalFormatting>
  <conditionalFormatting sqref="H51">
    <cfRule type="expression" dxfId="1463" priority="616">
      <formula>E49=TRUE</formula>
    </cfRule>
  </conditionalFormatting>
  <conditionalFormatting sqref="H60">
    <cfRule type="expression" dxfId="1462" priority="612">
      <formula>E58=TRUE</formula>
    </cfRule>
  </conditionalFormatting>
  <conditionalFormatting sqref="H69">
    <cfRule type="expression" dxfId="1461" priority="608">
      <formula>E67=TRUE</formula>
    </cfRule>
  </conditionalFormatting>
  <conditionalFormatting sqref="H78">
    <cfRule type="expression" dxfId="1460" priority="604">
      <formula>E76=TRUE</formula>
    </cfRule>
  </conditionalFormatting>
  <conditionalFormatting sqref="H87">
    <cfRule type="expression" dxfId="1459" priority="600">
      <formula>E85=TRUE</formula>
    </cfRule>
  </conditionalFormatting>
  <conditionalFormatting sqref="H96">
    <cfRule type="expression" dxfId="1458" priority="596">
      <formula>E94=TRUE</formula>
    </cfRule>
  </conditionalFormatting>
  <conditionalFormatting sqref="H105">
    <cfRule type="expression" dxfId="1457" priority="592">
      <formula>E103=TRUE</formula>
    </cfRule>
  </conditionalFormatting>
  <conditionalFormatting sqref="H114">
    <cfRule type="expression" dxfId="1456" priority="588">
      <formula>E112=TRUE</formula>
    </cfRule>
  </conditionalFormatting>
  <conditionalFormatting sqref="H123">
    <cfRule type="expression" dxfId="1455" priority="584">
      <formula>E121=TRUE</formula>
    </cfRule>
  </conditionalFormatting>
  <conditionalFormatting sqref="H132">
    <cfRule type="expression" dxfId="1454" priority="580">
      <formula>E130=TRUE</formula>
    </cfRule>
  </conditionalFormatting>
  <conditionalFormatting sqref="H141">
    <cfRule type="expression" dxfId="1453" priority="576">
      <formula>E139=TRUE</formula>
    </cfRule>
  </conditionalFormatting>
  <conditionalFormatting sqref="H150">
    <cfRule type="expression" dxfId="1452" priority="572">
      <formula>E148=TRUE</formula>
    </cfRule>
  </conditionalFormatting>
  <conditionalFormatting sqref="H159">
    <cfRule type="expression" dxfId="1451" priority="568">
      <formula>E157=TRUE</formula>
    </cfRule>
  </conditionalFormatting>
  <conditionalFormatting sqref="H168">
    <cfRule type="expression" dxfId="1450" priority="564">
      <formula>E166=TRUE</formula>
    </cfRule>
  </conditionalFormatting>
  <conditionalFormatting sqref="H177">
    <cfRule type="expression" dxfId="1449" priority="560">
      <formula>E175=TRUE</formula>
    </cfRule>
  </conditionalFormatting>
  <conditionalFormatting sqref="H186">
    <cfRule type="expression" dxfId="1448" priority="556">
      <formula>E184=TRUE</formula>
    </cfRule>
  </conditionalFormatting>
  <conditionalFormatting sqref="H3:I3 N3">
    <cfRule type="expression" dxfId="1447" priority="4497">
      <formula>OR(E13,E22,E31,E40,E49,E58,E67,E76,E85,E94,E103,E112,E121,E130,E139,E148,E157,E166,E175,E184)=TRUE</formula>
    </cfRule>
  </conditionalFormatting>
  <conditionalFormatting sqref="H13:I13">
    <cfRule type="expression" dxfId="1446" priority="635">
      <formula>E13=TRUE</formula>
    </cfRule>
  </conditionalFormatting>
  <conditionalFormatting sqref="H22:I22">
    <cfRule type="expression" dxfId="1445" priority="241">
      <formula>E22=TRUE</formula>
    </cfRule>
  </conditionalFormatting>
  <conditionalFormatting sqref="H31:I31">
    <cfRule type="expression" dxfId="1444" priority="240">
      <formula>E31=TRUE</formula>
    </cfRule>
  </conditionalFormatting>
  <conditionalFormatting sqref="H40:I40">
    <cfRule type="expression" dxfId="1443" priority="239">
      <formula>E40=TRUE</formula>
    </cfRule>
  </conditionalFormatting>
  <conditionalFormatting sqref="H49:I49">
    <cfRule type="expression" dxfId="1442" priority="238">
      <formula>E49=TRUE</formula>
    </cfRule>
  </conditionalFormatting>
  <conditionalFormatting sqref="H58:I58">
    <cfRule type="expression" dxfId="1441" priority="237">
      <formula>E58=TRUE</formula>
    </cfRule>
  </conditionalFormatting>
  <conditionalFormatting sqref="H67:I67">
    <cfRule type="expression" dxfId="1440" priority="236">
      <formula>E67=TRUE</formula>
    </cfRule>
  </conditionalFormatting>
  <conditionalFormatting sqref="H76:I76">
    <cfRule type="expression" dxfId="1439" priority="235">
      <formula>E76=TRUE</formula>
    </cfRule>
  </conditionalFormatting>
  <conditionalFormatting sqref="H85:I85">
    <cfRule type="expression" dxfId="1438" priority="234">
      <formula>E85=TRUE</formula>
    </cfRule>
  </conditionalFormatting>
  <conditionalFormatting sqref="H94:I94">
    <cfRule type="expression" dxfId="1437" priority="233">
      <formula>E94=TRUE</formula>
    </cfRule>
  </conditionalFormatting>
  <conditionalFormatting sqref="H103:I103">
    <cfRule type="expression" dxfId="1436" priority="232">
      <formula>E103=TRUE</formula>
    </cfRule>
  </conditionalFormatting>
  <conditionalFormatting sqref="H112:I112">
    <cfRule type="expression" dxfId="1435" priority="231">
      <formula>E112=TRUE</formula>
    </cfRule>
  </conditionalFormatting>
  <conditionalFormatting sqref="H121:I121">
    <cfRule type="expression" dxfId="1434" priority="230">
      <formula>E121=TRUE</formula>
    </cfRule>
  </conditionalFormatting>
  <conditionalFormatting sqref="H130:I130">
    <cfRule type="expression" dxfId="1433" priority="229">
      <formula>E130=TRUE</formula>
    </cfRule>
  </conditionalFormatting>
  <conditionalFormatting sqref="H139:I139">
    <cfRule type="expression" dxfId="1432" priority="228">
      <formula>E139=TRUE</formula>
    </cfRule>
  </conditionalFormatting>
  <conditionalFormatting sqref="H148:I148">
    <cfRule type="expression" dxfId="1431" priority="227">
      <formula>E148=TRUE</formula>
    </cfRule>
  </conditionalFormatting>
  <conditionalFormatting sqref="H157:I157">
    <cfRule type="expression" dxfId="1430" priority="226">
      <formula>E157=TRUE</formula>
    </cfRule>
  </conditionalFormatting>
  <conditionalFormatting sqref="H166:I166">
    <cfRule type="expression" dxfId="1429" priority="225">
      <formula>E166=TRUE</formula>
    </cfRule>
  </conditionalFormatting>
  <conditionalFormatting sqref="H175:I175">
    <cfRule type="expression" dxfId="1428" priority="224">
      <formula>E175=TRUE</formula>
    </cfRule>
  </conditionalFormatting>
  <conditionalFormatting sqref="H184:I184">
    <cfRule type="expression" dxfId="1427" priority="223">
      <formula>E184=TRUE</formula>
    </cfRule>
  </conditionalFormatting>
  <conditionalFormatting sqref="I10">
    <cfRule type="expression" dxfId="1426" priority="4499">
      <formula>OR(E13,E22,E31,E40,E49,E58,E67,E76,E85,E94,E103,E112,E121,E130,E139,E148,E157,E166,E175,E184)=TRUE</formula>
    </cfRule>
  </conditionalFormatting>
  <conditionalFormatting sqref="I15:I16">
    <cfRule type="expression" dxfId="1425" priority="633">
      <formula>E13=TRUE</formula>
    </cfRule>
  </conditionalFormatting>
  <conditionalFormatting sqref="I24:I25">
    <cfRule type="expression" dxfId="1424" priority="629">
      <formula>E22=TRUE</formula>
    </cfRule>
  </conditionalFormatting>
  <conditionalFormatting sqref="I33:I34">
    <cfRule type="expression" dxfId="1423" priority="625">
      <formula>E31=TRUE</formula>
    </cfRule>
  </conditionalFormatting>
  <conditionalFormatting sqref="I42:I43">
    <cfRule type="expression" dxfId="1422" priority="621">
      <formula>E40=TRUE</formula>
    </cfRule>
  </conditionalFormatting>
  <conditionalFormatting sqref="I51:I52">
    <cfRule type="expression" dxfId="1421" priority="617">
      <formula>E49=TRUE</formula>
    </cfRule>
  </conditionalFormatting>
  <conditionalFormatting sqref="I60:I61">
    <cfRule type="expression" dxfId="1420" priority="613">
      <formula>E58=TRUE</formula>
    </cfRule>
  </conditionalFormatting>
  <conditionalFormatting sqref="I69:I70">
    <cfRule type="expression" dxfId="1419" priority="609">
      <formula>E67=TRUE</formula>
    </cfRule>
  </conditionalFormatting>
  <conditionalFormatting sqref="I78:I79">
    <cfRule type="expression" dxfId="1418" priority="605">
      <formula>E76=TRUE</formula>
    </cfRule>
  </conditionalFormatting>
  <conditionalFormatting sqref="I87:I88">
    <cfRule type="expression" dxfId="1417" priority="601">
      <formula>E85=TRUE</formula>
    </cfRule>
  </conditionalFormatting>
  <conditionalFormatting sqref="I96:I97">
    <cfRule type="expression" dxfId="1416" priority="597">
      <formula>E94=TRUE</formula>
    </cfRule>
  </conditionalFormatting>
  <conditionalFormatting sqref="I105:I106">
    <cfRule type="expression" dxfId="1415" priority="593">
      <formula>E103=TRUE</formula>
    </cfRule>
  </conditionalFormatting>
  <conditionalFormatting sqref="I114:I115">
    <cfRule type="expression" dxfId="1414" priority="589">
      <formula>E112=TRUE</formula>
    </cfRule>
  </conditionalFormatting>
  <conditionalFormatting sqref="I123:I124">
    <cfRule type="expression" dxfId="1413" priority="585">
      <formula>E121=TRUE</formula>
    </cfRule>
  </conditionalFormatting>
  <conditionalFormatting sqref="I132:I133">
    <cfRule type="expression" dxfId="1412" priority="581">
      <formula>E130=TRUE</formula>
    </cfRule>
  </conditionalFormatting>
  <conditionalFormatting sqref="I141:I142">
    <cfRule type="expression" dxfId="1411" priority="577">
      <formula>E139=TRUE</formula>
    </cfRule>
  </conditionalFormatting>
  <conditionalFormatting sqref="I150:I151">
    <cfRule type="expression" dxfId="1410" priority="573">
      <formula>E148=TRUE</formula>
    </cfRule>
  </conditionalFormatting>
  <conditionalFormatting sqref="I159:I160">
    <cfRule type="expression" dxfId="1409" priority="569">
      <formula>E157=TRUE</formula>
    </cfRule>
  </conditionalFormatting>
  <conditionalFormatting sqref="I168:I169">
    <cfRule type="expression" dxfId="1408" priority="565">
      <formula>E166=TRUE</formula>
    </cfRule>
  </conditionalFormatting>
  <conditionalFormatting sqref="I177:I178">
    <cfRule type="expression" dxfId="1407" priority="561">
      <formula>E175=TRUE</formula>
    </cfRule>
  </conditionalFormatting>
  <conditionalFormatting sqref="I186:I187">
    <cfRule type="expression" dxfId="1406" priority="557">
      <formula>E184=TRUE</formula>
    </cfRule>
  </conditionalFormatting>
  <conditionalFormatting sqref="I14:J14">
    <cfRule type="expression" dxfId="1405" priority="634">
      <formula>E13=TRUE</formula>
    </cfRule>
  </conditionalFormatting>
  <conditionalFormatting sqref="I23:J23">
    <cfRule type="expression" dxfId="1404" priority="630">
      <formula>E22=TRUE</formula>
    </cfRule>
  </conditionalFormatting>
  <conditionalFormatting sqref="I32:J32">
    <cfRule type="expression" dxfId="1403" priority="626">
      <formula>E31=TRUE</formula>
    </cfRule>
  </conditionalFormatting>
  <conditionalFormatting sqref="I41:J41">
    <cfRule type="expression" dxfId="1402" priority="622">
      <formula>E40=TRUE</formula>
    </cfRule>
  </conditionalFormatting>
  <conditionalFormatting sqref="I50:J50">
    <cfRule type="expression" dxfId="1401" priority="618">
      <formula>E49=TRUE</formula>
    </cfRule>
  </conditionalFormatting>
  <conditionalFormatting sqref="I59:J59">
    <cfRule type="expression" dxfId="1400" priority="614">
      <formula>E58=TRUE</formula>
    </cfRule>
  </conditionalFormatting>
  <conditionalFormatting sqref="I68:J68">
    <cfRule type="expression" dxfId="1399" priority="610">
      <formula>E67=TRUE</formula>
    </cfRule>
  </conditionalFormatting>
  <conditionalFormatting sqref="I77:J77">
    <cfRule type="expression" dxfId="1398" priority="606">
      <formula>E76=TRUE</formula>
    </cfRule>
  </conditionalFormatting>
  <conditionalFormatting sqref="I86:J86">
    <cfRule type="expression" dxfId="1397" priority="602">
      <formula>E85=TRUE</formula>
    </cfRule>
  </conditionalFormatting>
  <conditionalFormatting sqref="I95:J95">
    <cfRule type="expression" dxfId="1396" priority="598">
      <formula>E94=TRUE</formula>
    </cfRule>
  </conditionalFormatting>
  <conditionalFormatting sqref="I104:J104">
    <cfRule type="expression" dxfId="1395" priority="594">
      <formula>E103=TRUE</formula>
    </cfRule>
  </conditionalFormatting>
  <conditionalFormatting sqref="I113:J113">
    <cfRule type="expression" dxfId="1394" priority="590">
      <formula>E112=TRUE</formula>
    </cfRule>
  </conditionalFormatting>
  <conditionalFormatting sqref="I122:J122">
    <cfRule type="expression" dxfId="1393" priority="586">
      <formula>E121=TRUE</formula>
    </cfRule>
  </conditionalFormatting>
  <conditionalFormatting sqref="I131:J131">
    <cfRule type="expression" dxfId="1392" priority="582">
      <formula>E130=TRUE</formula>
    </cfRule>
  </conditionalFormatting>
  <conditionalFormatting sqref="I140:J140">
    <cfRule type="expression" dxfId="1391" priority="578">
      <formula>E139=TRUE</formula>
    </cfRule>
  </conditionalFormatting>
  <conditionalFormatting sqref="I149:J149">
    <cfRule type="expression" dxfId="1390" priority="574">
      <formula>E148=TRUE</formula>
    </cfRule>
  </conditionalFormatting>
  <conditionalFormatting sqref="I158:J158">
    <cfRule type="expression" dxfId="1389" priority="570">
      <formula>E157=TRUE</formula>
    </cfRule>
  </conditionalFormatting>
  <conditionalFormatting sqref="I167:J167">
    <cfRule type="expression" dxfId="1388" priority="566">
      <formula>E166=TRUE</formula>
    </cfRule>
  </conditionalFormatting>
  <conditionalFormatting sqref="I176:J176">
    <cfRule type="expression" dxfId="1387" priority="562">
      <formula>E175=TRUE</formula>
    </cfRule>
  </conditionalFormatting>
  <conditionalFormatting sqref="I185:J185">
    <cfRule type="expression" dxfId="1386" priority="558">
      <formula>E184=TRUE</formula>
    </cfRule>
  </conditionalFormatting>
  <conditionalFormatting sqref="K13">
    <cfRule type="expression" dxfId="1385" priority="555">
      <formula>E14=TRUE</formula>
    </cfRule>
  </conditionalFormatting>
  <conditionalFormatting sqref="K14:K15">
    <cfRule type="expression" dxfId="1384" priority="552">
      <formula>E14=TRUE</formula>
    </cfRule>
  </conditionalFormatting>
  <conditionalFormatting sqref="K22">
    <cfRule type="expression" dxfId="1383" priority="551">
      <formula>E23=TRUE</formula>
    </cfRule>
  </conditionalFormatting>
  <conditionalFormatting sqref="K23:K24">
    <cfRule type="expression" dxfId="1382" priority="548">
      <formula>E23=TRUE</formula>
    </cfRule>
  </conditionalFormatting>
  <conditionalFormatting sqref="K31">
    <cfRule type="expression" dxfId="1381" priority="547">
      <formula>E32=TRUE</formula>
    </cfRule>
  </conditionalFormatting>
  <conditionalFormatting sqref="K32:K33">
    <cfRule type="expression" dxfId="1380" priority="544">
      <formula>E32=TRUE</formula>
    </cfRule>
  </conditionalFormatting>
  <conditionalFormatting sqref="K40">
    <cfRule type="expression" dxfId="1379" priority="543">
      <formula>E41=TRUE</formula>
    </cfRule>
  </conditionalFormatting>
  <conditionalFormatting sqref="K41:K42">
    <cfRule type="expression" dxfId="1378" priority="540">
      <formula>E41=TRUE</formula>
    </cfRule>
  </conditionalFormatting>
  <conditionalFormatting sqref="K49">
    <cfRule type="expression" dxfId="1377" priority="539">
      <formula>E50=TRUE</formula>
    </cfRule>
  </conditionalFormatting>
  <conditionalFormatting sqref="K50:K51">
    <cfRule type="expression" dxfId="1376" priority="536">
      <formula>E50=TRUE</formula>
    </cfRule>
  </conditionalFormatting>
  <conditionalFormatting sqref="K58">
    <cfRule type="expression" dxfId="1375" priority="535">
      <formula>E59=TRUE</formula>
    </cfRule>
  </conditionalFormatting>
  <conditionalFormatting sqref="K59:K60">
    <cfRule type="expression" dxfId="1374" priority="532">
      <formula>E59=TRUE</formula>
    </cfRule>
  </conditionalFormatting>
  <conditionalFormatting sqref="K67">
    <cfRule type="expression" dxfId="1373" priority="531">
      <formula>E68=TRUE</formula>
    </cfRule>
  </conditionalFormatting>
  <conditionalFormatting sqref="K68:K69">
    <cfRule type="expression" dxfId="1372" priority="528">
      <formula>E68=TRUE</formula>
    </cfRule>
  </conditionalFormatting>
  <conditionalFormatting sqref="K76">
    <cfRule type="expression" dxfId="1371" priority="527">
      <formula>E77=TRUE</formula>
    </cfRule>
  </conditionalFormatting>
  <conditionalFormatting sqref="K77:K78">
    <cfRule type="expression" dxfId="1370" priority="524">
      <formula>E77=TRUE</formula>
    </cfRule>
  </conditionalFormatting>
  <conditionalFormatting sqref="K85">
    <cfRule type="expression" dxfId="1369" priority="523">
      <formula>E86=TRUE</formula>
    </cfRule>
  </conditionalFormatting>
  <conditionalFormatting sqref="K86:K87">
    <cfRule type="expression" dxfId="1368" priority="520">
      <formula>E86=TRUE</formula>
    </cfRule>
  </conditionalFormatting>
  <conditionalFormatting sqref="K94">
    <cfRule type="expression" dxfId="1367" priority="519">
      <formula>E95=TRUE</formula>
    </cfRule>
  </conditionalFormatting>
  <conditionalFormatting sqref="K95:K96">
    <cfRule type="expression" dxfId="1366" priority="516">
      <formula>E95=TRUE</formula>
    </cfRule>
  </conditionalFormatting>
  <conditionalFormatting sqref="K103">
    <cfRule type="expression" dxfId="1365" priority="515">
      <formula>E104=TRUE</formula>
    </cfRule>
  </conditionalFormatting>
  <conditionalFormatting sqref="K104:K105">
    <cfRule type="expression" dxfId="1364" priority="512">
      <formula>E104=TRUE</formula>
    </cfRule>
  </conditionalFormatting>
  <conditionalFormatting sqref="K112">
    <cfRule type="expression" dxfId="1363" priority="511">
      <formula>E113=TRUE</formula>
    </cfRule>
  </conditionalFormatting>
  <conditionalFormatting sqref="K113:K114">
    <cfRule type="expression" dxfId="1362" priority="508">
      <formula>E113=TRUE</formula>
    </cfRule>
  </conditionalFormatting>
  <conditionalFormatting sqref="K121">
    <cfRule type="expression" dxfId="1361" priority="507">
      <formula>E122=TRUE</formula>
    </cfRule>
  </conditionalFormatting>
  <conditionalFormatting sqref="K122:K123">
    <cfRule type="expression" dxfId="1360" priority="504">
      <formula>E122=TRUE</formula>
    </cfRule>
  </conditionalFormatting>
  <conditionalFormatting sqref="K130">
    <cfRule type="expression" dxfId="1359" priority="503">
      <formula>E131=TRUE</formula>
    </cfRule>
  </conditionalFormatting>
  <conditionalFormatting sqref="K131:K132">
    <cfRule type="expression" dxfId="1358" priority="500">
      <formula>E131=TRUE</formula>
    </cfRule>
  </conditionalFormatting>
  <conditionalFormatting sqref="K139">
    <cfRule type="expression" dxfId="1357" priority="499">
      <formula>E140=TRUE</formula>
    </cfRule>
  </conditionalFormatting>
  <conditionalFormatting sqref="K140:K141">
    <cfRule type="expression" dxfId="1356" priority="496">
      <formula>E140=TRUE</formula>
    </cfRule>
  </conditionalFormatting>
  <conditionalFormatting sqref="K148">
    <cfRule type="expression" dxfId="1355" priority="495">
      <formula>E149=TRUE</formula>
    </cfRule>
  </conditionalFormatting>
  <conditionalFormatting sqref="K149:K150">
    <cfRule type="expression" dxfId="1354" priority="492">
      <formula>E149=TRUE</formula>
    </cfRule>
  </conditionalFormatting>
  <conditionalFormatting sqref="K157">
    <cfRule type="expression" dxfId="1353" priority="491">
      <formula>E158=TRUE</formula>
    </cfRule>
  </conditionalFormatting>
  <conditionalFormatting sqref="K158:K159">
    <cfRule type="expression" dxfId="1352" priority="488">
      <formula>E158=TRUE</formula>
    </cfRule>
  </conditionalFormatting>
  <conditionalFormatting sqref="K166">
    <cfRule type="expression" dxfId="1351" priority="487">
      <formula>E167=TRUE</formula>
    </cfRule>
  </conditionalFormatting>
  <conditionalFormatting sqref="K167:K168">
    <cfRule type="expression" dxfId="1350" priority="484">
      <formula>E167=TRUE</formula>
    </cfRule>
  </conditionalFormatting>
  <conditionalFormatting sqref="K175">
    <cfRule type="expression" dxfId="1349" priority="483">
      <formula>E176=TRUE</formula>
    </cfRule>
  </conditionalFormatting>
  <conditionalFormatting sqref="K176:K177">
    <cfRule type="expression" dxfId="1348" priority="480">
      <formula>E176=TRUE</formula>
    </cfRule>
  </conditionalFormatting>
  <conditionalFormatting sqref="K184">
    <cfRule type="expression" dxfId="1347" priority="479">
      <formula>E185=TRUE</formula>
    </cfRule>
  </conditionalFormatting>
  <conditionalFormatting sqref="K185:K186">
    <cfRule type="expression" dxfId="1346" priority="476">
      <formula>E185=TRUE</formula>
    </cfRule>
  </conditionalFormatting>
  <conditionalFormatting sqref="K3:L3">
    <cfRule type="expression" dxfId="1345" priority="4500">
      <formula>OR(E14,E23,E32,E41,E50,E59,E68,E77,E86,E95,E104,E113,E122,E131,E140,E149,E158,E167,E176,E185)=TRUE</formula>
    </cfRule>
  </conditionalFormatting>
  <conditionalFormatting sqref="L13">
    <cfRule type="expression" dxfId="1344" priority="554">
      <formula>E14=TRUE</formula>
    </cfRule>
  </conditionalFormatting>
  <conditionalFormatting sqref="L14:L15">
    <cfRule type="expression" dxfId="1343" priority="553">
      <formula>E14=TRUE</formula>
    </cfRule>
  </conditionalFormatting>
  <conditionalFormatting sqref="L22">
    <cfRule type="expression" dxfId="1342" priority="550">
      <formula>E23=TRUE</formula>
    </cfRule>
  </conditionalFormatting>
  <conditionalFormatting sqref="L23:L24">
    <cfRule type="expression" dxfId="1341" priority="549">
      <formula>E23=TRUE</formula>
    </cfRule>
  </conditionalFormatting>
  <conditionalFormatting sqref="L31">
    <cfRule type="expression" dxfId="1340" priority="546">
      <formula>E32=TRUE</formula>
    </cfRule>
  </conditionalFormatting>
  <conditionalFormatting sqref="L32:L33">
    <cfRule type="expression" dxfId="1339" priority="545">
      <formula>E32=TRUE</formula>
    </cfRule>
  </conditionalFormatting>
  <conditionalFormatting sqref="L40">
    <cfRule type="expression" dxfId="1338" priority="542">
      <formula>E41=TRUE</formula>
    </cfRule>
  </conditionalFormatting>
  <conditionalFormatting sqref="L41:L42">
    <cfRule type="expression" dxfId="1337" priority="541">
      <formula>E41=TRUE</formula>
    </cfRule>
  </conditionalFormatting>
  <conditionalFormatting sqref="L49">
    <cfRule type="expression" dxfId="1336" priority="538">
      <formula>E50=TRUE</formula>
    </cfRule>
  </conditionalFormatting>
  <conditionalFormatting sqref="L50:L51">
    <cfRule type="expression" dxfId="1335" priority="537">
      <formula>E50=TRUE</formula>
    </cfRule>
  </conditionalFormatting>
  <conditionalFormatting sqref="L58">
    <cfRule type="expression" dxfId="1334" priority="534">
      <formula>E59=TRUE</formula>
    </cfRule>
  </conditionalFormatting>
  <conditionalFormatting sqref="L59:L60">
    <cfRule type="expression" dxfId="1333" priority="533">
      <formula>E59=TRUE</formula>
    </cfRule>
  </conditionalFormatting>
  <conditionalFormatting sqref="L67">
    <cfRule type="expression" dxfId="1332" priority="530">
      <formula>E68=TRUE</formula>
    </cfRule>
  </conditionalFormatting>
  <conditionalFormatting sqref="L68:L69">
    <cfRule type="expression" dxfId="1331" priority="529">
      <formula>E68=TRUE</formula>
    </cfRule>
  </conditionalFormatting>
  <conditionalFormatting sqref="L76">
    <cfRule type="expression" dxfId="1330" priority="526">
      <formula>E77=TRUE</formula>
    </cfRule>
  </conditionalFormatting>
  <conditionalFormatting sqref="L77:L78">
    <cfRule type="expression" dxfId="1329" priority="525">
      <formula>E77=TRUE</formula>
    </cfRule>
  </conditionalFormatting>
  <conditionalFormatting sqref="L85">
    <cfRule type="expression" dxfId="1328" priority="522">
      <formula>E86=TRUE</formula>
    </cfRule>
  </conditionalFormatting>
  <conditionalFormatting sqref="L86:L87">
    <cfRule type="expression" dxfId="1327" priority="521">
      <formula>E86=TRUE</formula>
    </cfRule>
  </conditionalFormatting>
  <conditionalFormatting sqref="L94">
    <cfRule type="expression" dxfId="1326" priority="518">
      <formula>E95=TRUE</formula>
    </cfRule>
  </conditionalFormatting>
  <conditionalFormatting sqref="L95:L96">
    <cfRule type="expression" dxfId="1325" priority="517">
      <formula>E95=TRUE</formula>
    </cfRule>
  </conditionalFormatting>
  <conditionalFormatting sqref="L103">
    <cfRule type="expression" dxfId="1324" priority="514">
      <formula>E104=TRUE</formula>
    </cfRule>
  </conditionalFormatting>
  <conditionalFormatting sqref="L104:L105">
    <cfRule type="expression" dxfId="1323" priority="513">
      <formula>E104=TRUE</formula>
    </cfRule>
  </conditionalFormatting>
  <conditionalFormatting sqref="L112">
    <cfRule type="expression" dxfId="1322" priority="510">
      <formula>E113=TRUE</formula>
    </cfRule>
  </conditionalFormatting>
  <conditionalFormatting sqref="L113:L114">
    <cfRule type="expression" dxfId="1321" priority="509">
      <formula>E113=TRUE</formula>
    </cfRule>
  </conditionalFormatting>
  <conditionalFormatting sqref="L121">
    <cfRule type="expression" dxfId="1320" priority="506">
      <formula>E122=TRUE</formula>
    </cfRule>
  </conditionalFormatting>
  <conditionalFormatting sqref="L122:L123">
    <cfRule type="expression" dxfId="1319" priority="505">
      <formula>E122=TRUE</formula>
    </cfRule>
  </conditionalFormatting>
  <conditionalFormatting sqref="L130">
    <cfRule type="expression" dxfId="1318" priority="502">
      <formula>E131=TRUE</formula>
    </cfRule>
  </conditionalFormatting>
  <conditionalFormatting sqref="L131:L132">
    <cfRule type="expression" dxfId="1317" priority="501">
      <formula>E131=TRUE</formula>
    </cfRule>
  </conditionalFormatting>
  <conditionalFormatting sqref="L139">
    <cfRule type="expression" dxfId="1316" priority="498">
      <formula>E140=TRUE</formula>
    </cfRule>
  </conditionalFormatting>
  <conditionalFormatting sqref="L140:L141">
    <cfRule type="expression" dxfId="1315" priority="497">
      <formula>E140=TRUE</formula>
    </cfRule>
  </conditionalFormatting>
  <conditionalFormatting sqref="L148">
    <cfRule type="expression" dxfId="1314" priority="494">
      <formula>E149=TRUE</formula>
    </cfRule>
  </conditionalFormatting>
  <conditionalFormatting sqref="L149:L150">
    <cfRule type="expression" dxfId="1313" priority="493">
      <formula>E149=TRUE</formula>
    </cfRule>
  </conditionalFormatting>
  <conditionalFormatting sqref="L157">
    <cfRule type="expression" dxfId="1312" priority="490">
      <formula>E158=TRUE</formula>
    </cfRule>
  </conditionalFormatting>
  <conditionalFormatting sqref="L158:L159">
    <cfRule type="expression" dxfId="1311" priority="489">
      <formula>E158=TRUE</formula>
    </cfRule>
  </conditionalFormatting>
  <conditionalFormatting sqref="L166">
    <cfRule type="expression" dxfId="1310" priority="486">
      <formula>E167=TRUE</formula>
    </cfRule>
  </conditionalFormatting>
  <conditionalFormatting sqref="L167:L168">
    <cfRule type="expression" dxfId="1309" priority="485">
      <formula>E167=TRUE</formula>
    </cfRule>
  </conditionalFormatting>
  <conditionalFormatting sqref="L175">
    <cfRule type="expression" dxfId="1308" priority="482">
      <formula>E176=TRUE</formula>
    </cfRule>
  </conditionalFormatting>
  <conditionalFormatting sqref="L176:L177">
    <cfRule type="expression" dxfId="1307" priority="481">
      <formula>E176=TRUE</formula>
    </cfRule>
  </conditionalFormatting>
  <conditionalFormatting sqref="L184">
    <cfRule type="expression" dxfId="1306" priority="478">
      <formula>E185=TRUE</formula>
    </cfRule>
  </conditionalFormatting>
  <conditionalFormatting sqref="L185:L186">
    <cfRule type="expression" dxfId="1305" priority="477">
      <formula>E185=TRUE</formula>
    </cfRule>
  </conditionalFormatting>
  <conditionalFormatting sqref="L10:M10">
    <cfRule type="expression" dxfId="1304" priority="4501">
      <formula>OR(E14,E23,E32,E41,E50,E59,E68,E77,E86,E95,E104,E113,E122,E131,E140,E149,E158,E167,E176,E185)=TRUE</formula>
    </cfRule>
  </conditionalFormatting>
  <conditionalFormatting sqref="N13">
    <cfRule type="expression" dxfId="1303" priority="887">
      <formula>AND($E$14=TRUE,K13=TRUE)</formula>
    </cfRule>
  </conditionalFormatting>
  <conditionalFormatting sqref="N14">
    <cfRule type="expression" dxfId="1302" priority="886">
      <formula>AND($E$14=TRUE,K13=TRUE)</formula>
    </cfRule>
  </conditionalFormatting>
  <conditionalFormatting sqref="N15">
    <cfRule type="expression" dxfId="1301" priority="885">
      <formula>AND($E$14=TRUE,K13=TRUE)</formula>
    </cfRule>
  </conditionalFormatting>
  <conditionalFormatting sqref="N22">
    <cfRule type="expression" dxfId="1300" priority="884">
      <formula>AND(K22=TRUE,$E$23=TRUE)</formula>
    </cfRule>
  </conditionalFormatting>
  <conditionalFormatting sqref="N23">
    <cfRule type="expression" dxfId="1299" priority="883">
      <formula>AND($E$23=TRUE,K22=TRUE)</formula>
    </cfRule>
  </conditionalFormatting>
  <conditionalFormatting sqref="N24">
    <cfRule type="expression" dxfId="1298" priority="882">
      <formula>AND(K22=TRUE,$E$23=TRUE)</formula>
    </cfRule>
  </conditionalFormatting>
  <conditionalFormatting sqref="N31">
    <cfRule type="expression" dxfId="1297" priority="881">
      <formula>AND(K31=TRUE,$E$32=TRUE)</formula>
    </cfRule>
  </conditionalFormatting>
  <conditionalFormatting sqref="N32">
    <cfRule type="expression" dxfId="1296" priority="880">
      <formula>AND($E$32=TRUE,K31=TRUE)</formula>
    </cfRule>
  </conditionalFormatting>
  <conditionalFormatting sqref="N33">
    <cfRule type="expression" dxfId="1295" priority="879">
      <formula>AND($E$32=TRUE,K31=TRUE)</formula>
    </cfRule>
  </conditionalFormatting>
  <conditionalFormatting sqref="N40">
    <cfRule type="expression" dxfId="1294" priority="82">
      <formula>AND(K40=TRUE,$E$41)</formula>
    </cfRule>
  </conditionalFormatting>
  <conditionalFormatting sqref="N41">
    <cfRule type="expression" dxfId="1293" priority="81">
      <formula>AND(K40=TRUE,$E$41=TRUE)</formula>
    </cfRule>
  </conditionalFormatting>
  <conditionalFormatting sqref="N42">
    <cfRule type="expression" dxfId="1292" priority="80">
      <formula>AND(K40=TRUE,$E$41=TRUE)</formula>
    </cfRule>
  </conditionalFormatting>
  <conditionalFormatting sqref="N49">
    <cfRule type="expression" dxfId="1291" priority="875">
      <formula>AND(K49=TRUE,$E$50=TRUE)</formula>
    </cfRule>
  </conditionalFormatting>
  <conditionalFormatting sqref="N50">
    <cfRule type="expression" dxfId="1290" priority="874">
      <formula>AND(K49=TRUE,$E$50=TRUE)</formula>
    </cfRule>
  </conditionalFormatting>
  <conditionalFormatting sqref="N51">
    <cfRule type="expression" dxfId="1289" priority="873">
      <formula>AND(K49=TRUE,$E$50=TRUE)</formula>
    </cfRule>
  </conditionalFormatting>
  <conditionalFormatting sqref="N58">
    <cfRule type="expression" dxfId="1288" priority="872">
      <formula>AND($E$59=TRUE,K58=TRUE)</formula>
    </cfRule>
  </conditionalFormatting>
  <conditionalFormatting sqref="N59">
    <cfRule type="expression" dxfId="1287" priority="871">
      <formula>AND($E$59=TRUE,K58=TRUE)</formula>
    </cfRule>
  </conditionalFormatting>
  <conditionalFormatting sqref="N60">
    <cfRule type="expression" dxfId="1286" priority="870">
      <formula>AND($E$59=TRUE,K58=TRUE)</formula>
    </cfRule>
  </conditionalFormatting>
  <conditionalFormatting sqref="N67">
    <cfRule type="expression" dxfId="1285" priority="866">
      <formula>AND($E$68=TRUE,K67=TRUE)</formula>
    </cfRule>
  </conditionalFormatting>
  <conditionalFormatting sqref="N68">
    <cfRule type="expression" dxfId="1284" priority="865">
      <formula>AND($E$68=TRUE,K67=TRUE)</formula>
    </cfRule>
  </conditionalFormatting>
  <conditionalFormatting sqref="N69">
    <cfRule type="expression" dxfId="1283" priority="864">
      <formula>AND($E$68=TRUE,K67=TRUE)</formula>
    </cfRule>
  </conditionalFormatting>
  <conditionalFormatting sqref="N76">
    <cfRule type="expression" dxfId="1282" priority="863">
      <formula>AND(K76=TRUE,$E$77=TRUE)</formula>
    </cfRule>
  </conditionalFormatting>
  <conditionalFormatting sqref="N77">
    <cfRule type="expression" dxfId="1281" priority="862">
      <formula>AND(K76=TRUE,$E$77=TRUE)</formula>
    </cfRule>
  </conditionalFormatting>
  <conditionalFormatting sqref="N78">
    <cfRule type="expression" dxfId="1280" priority="861">
      <formula>AND(K76=TRUE,$E$77=TRUE)</formula>
    </cfRule>
  </conditionalFormatting>
  <conditionalFormatting sqref="N85">
    <cfRule type="expression" dxfId="1279" priority="860">
      <formula>AND(K85=TRUE,$E$86=TRUE)</formula>
    </cfRule>
  </conditionalFormatting>
  <conditionalFormatting sqref="N86">
    <cfRule type="expression" dxfId="1278" priority="859">
      <formula>AND(K85=TRUE,$E$86=TRUE)</formula>
    </cfRule>
  </conditionalFormatting>
  <conditionalFormatting sqref="N87">
    <cfRule type="expression" dxfId="1277" priority="858">
      <formula>AND(K85=TRUE,$E$86=TRUE)</formula>
    </cfRule>
  </conditionalFormatting>
  <conditionalFormatting sqref="N94">
    <cfRule type="expression" dxfId="1276" priority="857">
      <formula>AND(K94=TRUE,$E$95=TRUE)</formula>
    </cfRule>
  </conditionalFormatting>
  <conditionalFormatting sqref="N95">
    <cfRule type="expression" dxfId="1275" priority="856">
      <formula>AND(K94=TRUE,$E$95=TRUE)</formula>
    </cfRule>
  </conditionalFormatting>
  <conditionalFormatting sqref="N96">
    <cfRule type="expression" dxfId="1274" priority="855">
      <formula>AND(K94=TRUE,$E$95=TRUE)</formula>
    </cfRule>
  </conditionalFormatting>
  <conditionalFormatting sqref="N103">
    <cfRule type="expression" dxfId="1273" priority="854">
      <formula>AND($E$104=TRUE,K103=TRUE)</formula>
    </cfRule>
  </conditionalFormatting>
  <conditionalFormatting sqref="N104">
    <cfRule type="expression" dxfId="1272" priority="853">
      <formula>AND($E$104=TRUE,K103=TRUE)</formula>
    </cfRule>
  </conditionalFormatting>
  <conditionalFormatting sqref="N105">
    <cfRule type="expression" dxfId="1271" priority="852">
      <formula>AND($E$104=TRUE,K103=TRUE)</formula>
    </cfRule>
  </conditionalFormatting>
  <conditionalFormatting sqref="N112">
    <cfRule type="expression" dxfId="1270" priority="851">
      <formula>AND(K112=TRUE,$E$113=TRUE)</formula>
    </cfRule>
  </conditionalFormatting>
  <conditionalFormatting sqref="N113">
    <cfRule type="expression" dxfId="1269" priority="850">
      <formula>AND(K112=TRUE,$E$113=TRUE)</formula>
    </cfRule>
  </conditionalFormatting>
  <conditionalFormatting sqref="N114">
    <cfRule type="expression" dxfId="1268" priority="849">
      <formula>AND(K112=TRUE,$E$113=TRUE)</formula>
    </cfRule>
  </conditionalFormatting>
  <conditionalFormatting sqref="N121">
    <cfRule type="expression" dxfId="1267" priority="848">
      <formula>AND(K121=TRUE,$E$122=TRUE)</formula>
    </cfRule>
  </conditionalFormatting>
  <conditionalFormatting sqref="N122">
    <cfRule type="expression" dxfId="1266" priority="847">
      <formula>AND(K121=TRUE,$E$122=TRUE)</formula>
    </cfRule>
  </conditionalFormatting>
  <conditionalFormatting sqref="N123">
    <cfRule type="expression" dxfId="1265" priority="846">
      <formula>AND(K121=TRUE,$E$122=TRUE)</formula>
    </cfRule>
  </conditionalFormatting>
  <conditionalFormatting sqref="N130">
    <cfRule type="expression" dxfId="1264" priority="845">
      <formula>AND(K130=TRUE,$E$131=TRUE)</formula>
    </cfRule>
  </conditionalFormatting>
  <conditionalFormatting sqref="N131">
    <cfRule type="expression" dxfId="1263" priority="844">
      <formula>AND(K130=TRUE,$E$131=TRUE)</formula>
    </cfRule>
  </conditionalFormatting>
  <conditionalFormatting sqref="N132">
    <cfRule type="expression" dxfId="1262" priority="843">
      <formula>AND(K130=TRUE,$E$131=TRUE)</formula>
    </cfRule>
  </conditionalFormatting>
  <conditionalFormatting sqref="N139">
    <cfRule type="expression" dxfId="1261" priority="842">
      <formula>AND(K139=TRUE,$E$140=TRUE)</formula>
    </cfRule>
  </conditionalFormatting>
  <conditionalFormatting sqref="N140">
    <cfRule type="expression" dxfId="1260" priority="841">
      <formula>AND(K139=TRUE,$E$140=TRUE)</formula>
    </cfRule>
  </conditionalFormatting>
  <conditionalFormatting sqref="N141">
    <cfRule type="expression" dxfId="1259" priority="840">
      <formula>AND(K139=TRUE,$E$140=TRUE)</formula>
    </cfRule>
  </conditionalFormatting>
  <conditionalFormatting sqref="N148">
    <cfRule type="expression" dxfId="1258" priority="839">
      <formula>AND(K148=TRUE,$E$149=TRUE)</formula>
    </cfRule>
  </conditionalFormatting>
  <conditionalFormatting sqref="N149">
    <cfRule type="expression" dxfId="1257" priority="838">
      <formula>AND(K148=TRUE,$E$149=TRUE)</formula>
    </cfRule>
  </conditionalFormatting>
  <conditionalFormatting sqref="N150">
    <cfRule type="expression" dxfId="1256" priority="837">
      <formula>AND(K148=TRUE,$E$149=TRUE)</formula>
    </cfRule>
  </conditionalFormatting>
  <conditionalFormatting sqref="N157">
    <cfRule type="expression" dxfId="1255" priority="836">
      <formula>AND(K157=TRUE,$E$158=TRUE)</formula>
    </cfRule>
  </conditionalFormatting>
  <conditionalFormatting sqref="N158">
    <cfRule type="expression" dxfId="1254" priority="835">
      <formula>AND(K157=TRUE,$E$158=TRUE)</formula>
    </cfRule>
  </conditionalFormatting>
  <conditionalFormatting sqref="N159">
    <cfRule type="expression" dxfId="1253" priority="834">
      <formula>AND(K157=TRUE,$E$158=TRUE)</formula>
    </cfRule>
  </conditionalFormatting>
  <conditionalFormatting sqref="N166">
    <cfRule type="expression" dxfId="1252" priority="833">
      <formula>AND(K166=TRUE,$E$167=TRUE)</formula>
    </cfRule>
  </conditionalFormatting>
  <conditionalFormatting sqref="N167">
    <cfRule type="expression" dxfId="1251" priority="832">
      <formula>AND(K166=TRUE,$E$167=TRUE)</formula>
    </cfRule>
  </conditionalFormatting>
  <conditionalFormatting sqref="N168">
    <cfRule type="expression" dxfId="1250" priority="831">
      <formula>AND(K166=TRUE,$E$167=TRUE)</formula>
    </cfRule>
  </conditionalFormatting>
  <conditionalFormatting sqref="N175">
    <cfRule type="expression" dxfId="1249" priority="830">
      <formula>AND($K$175=TRUE,$E$176=TRUE)</formula>
    </cfRule>
  </conditionalFormatting>
  <conditionalFormatting sqref="N176">
    <cfRule type="expression" dxfId="1248" priority="829">
      <formula>AND($K$175=TRUE,$E$176=TRUE)</formula>
    </cfRule>
  </conditionalFormatting>
  <conditionalFormatting sqref="N177">
    <cfRule type="expression" dxfId="1247" priority="828">
      <formula>AND($K$175=TRUE,$E$176=TRUE)</formula>
    </cfRule>
  </conditionalFormatting>
  <conditionalFormatting sqref="N184">
    <cfRule type="expression" dxfId="1246" priority="827">
      <formula>AND($K$184=TRUE,$E$185=TRUE)</formula>
    </cfRule>
  </conditionalFormatting>
  <conditionalFormatting sqref="N185">
    <cfRule type="expression" dxfId="1245" priority="826">
      <formula>AND($K$184=TRUE,$E$185=TRUE)</formula>
    </cfRule>
  </conditionalFormatting>
  <conditionalFormatting sqref="N186">
    <cfRule type="expression" dxfId="1244" priority="825">
      <formula>AND($K$184=TRUE,$E$185=TRUE)</formula>
    </cfRule>
  </conditionalFormatting>
  <conditionalFormatting sqref="P14">
    <cfRule type="expression" dxfId="1243" priority="820">
      <formula>AND(K14=TRUE,$E$14=TRUE)</formula>
    </cfRule>
  </conditionalFormatting>
  <conditionalFormatting sqref="P16">
    <cfRule type="expression" dxfId="1242" priority="821">
      <formula>AND(K14=TRUE,$E$14=TRUE)</formula>
    </cfRule>
  </conditionalFormatting>
  <conditionalFormatting sqref="P23">
    <cfRule type="expression" dxfId="1241" priority="802">
      <formula>AND(K23=TRUE,E23=TRUE)</formula>
    </cfRule>
  </conditionalFormatting>
  <conditionalFormatting sqref="P25">
    <cfRule type="expression" dxfId="1240" priority="803">
      <formula>AND(K23=TRUE,E23=TRUE)</formula>
    </cfRule>
  </conditionalFormatting>
  <conditionalFormatting sqref="P32">
    <cfRule type="expression" dxfId="1239" priority="793">
      <formula>AND(K32=TRUE,$E$32=TRUE)</formula>
    </cfRule>
  </conditionalFormatting>
  <conditionalFormatting sqref="P34">
    <cfRule type="expression" dxfId="1238" priority="794">
      <formula>AND(K32=TRUE,$E$32=TRUE)</formula>
    </cfRule>
  </conditionalFormatting>
  <conditionalFormatting sqref="P41">
    <cfRule type="expression" dxfId="1237" priority="784">
      <formula>AND(K41,$E$41)=TRUE</formula>
    </cfRule>
  </conditionalFormatting>
  <conditionalFormatting sqref="P43">
    <cfRule type="expression" dxfId="1236" priority="785">
      <formula>AND(K41,$E$41)=TRUE</formula>
    </cfRule>
  </conditionalFormatting>
  <conditionalFormatting sqref="P50">
    <cfRule type="expression" dxfId="1235" priority="775">
      <formula>AND(K50=TRUE,$E$50=TRUE)</formula>
    </cfRule>
  </conditionalFormatting>
  <conditionalFormatting sqref="P52">
    <cfRule type="expression" dxfId="1234" priority="776">
      <formula>AND(K50=TRUE,$E$50=TRUE)</formula>
    </cfRule>
  </conditionalFormatting>
  <conditionalFormatting sqref="P68">
    <cfRule type="expression" dxfId="1233" priority="757">
      <formula>AND(K68=TRUE,$E$68=TRUE)</formula>
    </cfRule>
  </conditionalFormatting>
  <conditionalFormatting sqref="P70">
    <cfRule type="expression" dxfId="1232" priority="758">
      <formula>AND(K68=TRUE,$E$68=TRUE)</formula>
    </cfRule>
  </conditionalFormatting>
  <conditionalFormatting sqref="P77">
    <cfRule type="expression" dxfId="1231" priority="748">
      <formula>AND(K77=TRUE,$E$77=TRUE)</formula>
    </cfRule>
  </conditionalFormatting>
  <conditionalFormatting sqref="P79">
    <cfRule type="expression" dxfId="1230" priority="749">
      <formula>AND(K77=TRUE,$E$77=TRUE)</formula>
    </cfRule>
  </conditionalFormatting>
  <conditionalFormatting sqref="P86">
    <cfRule type="expression" dxfId="1229" priority="739">
      <formula>AND(K86=TRUE,$E$86=TRUE)</formula>
    </cfRule>
  </conditionalFormatting>
  <conditionalFormatting sqref="P88">
    <cfRule type="expression" dxfId="1228" priority="740">
      <formula>AND(K86=TRUE,$E$86=TRUE)</formula>
    </cfRule>
  </conditionalFormatting>
  <conditionalFormatting sqref="P95">
    <cfRule type="expression" dxfId="1227" priority="730">
      <formula>AND(K95=TRUE,$E$95=TRUE)</formula>
    </cfRule>
  </conditionalFormatting>
  <conditionalFormatting sqref="P97">
    <cfRule type="expression" dxfId="1226" priority="731">
      <formula>AND(K95=TRUE,$E$95=TRUE)</formula>
    </cfRule>
  </conditionalFormatting>
  <conditionalFormatting sqref="P104">
    <cfRule type="expression" dxfId="1225" priority="721">
      <formula>AND(K104=TRUE,$E$104=TRUE)</formula>
    </cfRule>
  </conditionalFormatting>
  <conditionalFormatting sqref="P106">
    <cfRule type="expression" dxfId="1224" priority="722">
      <formula>AND(K104=TRUE,$E$104=TRUE)</formula>
    </cfRule>
  </conditionalFormatting>
  <conditionalFormatting sqref="P113">
    <cfRule type="expression" dxfId="1223" priority="712">
      <formula>AND(K113=TRUE,$E$113=TRUE)</formula>
    </cfRule>
  </conditionalFormatting>
  <conditionalFormatting sqref="P115">
    <cfRule type="expression" dxfId="1222" priority="713">
      <formula>AND(K113=TRUE,$E$113=TRUE)</formula>
    </cfRule>
  </conditionalFormatting>
  <conditionalFormatting sqref="P131">
    <cfRule type="expression" dxfId="1221" priority="694">
      <formula>AND(K131,$E$131)=TRUE</formula>
    </cfRule>
  </conditionalFormatting>
  <conditionalFormatting sqref="P133">
    <cfRule type="expression" dxfId="1220" priority="695">
      <formula>AND(K131,$E$131)=TRUE</formula>
    </cfRule>
  </conditionalFormatting>
  <conditionalFormatting sqref="P167">
    <cfRule type="expression" dxfId="1219" priority="658">
      <formula>AND(K167,$E$167)=TRUE</formula>
    </cfRule>
  </conditionalFormatting>
  <conditionalFormatting sqref="P169">
    <cfRule type="expression" dxfId="1218" priority="659">
      <formula>AND(K167,$E$167)=TRUE</formula>
    </cfRule>
  </conditionalFormatting>
  <conditionalFormatting sqref="P3:Q3">
    <cfRule type="expression" dxfId="1217" priority="4502">
      <formula>OR(K14,K23,K32,K41,K50,K59,K68,K77,K86,K95,K104,K113,K122,K131,K140,K149,K158,K167,K176,K185)=TRUE</formula>
    </cfRule>
  </conditionalFormatting>
  <conditionalFormatting sqref="P13:Q13">
    <cfRule type="expression" dxfId="1216" priority="824">
      <formula>AND(K14=TRUE,$E$14=TRUE)</formula>
    </cfRule>
  </conditionalFormatting>
  <conditionalFormatting sqref="P22:Q22">
    <cfRule type="expression" dxfId="1215" priority="806">
      <formula>AND(K23=TRUE,E23=TRUE)</formula>
    </cfRule>
  </conditionalFormatting>
  <conditionalFormatting sqref="P31:Q31">
    <cfRule type="expression" dxfId="1214" priority="797">
      <formula>AND(K32=TRUE,$E$32=TRUE)</formula>
    </cfRule>
  </conditionalFormatting>
  <conditionalFormatting sqref="P40:Q40">
    <cfRule type="expression" dxfId="1213" priority="788">
      <formula>AND(K41,$E$41)=TRUE</formula>
    </cfRule>
  </conditionalFormatting>
  <conditionalFormatting sqref="P49:Q49">
    <cfRule type="expression" dxfId="1212" priority="779">
      <formula>AND(K50=TRUE,$E$50=TRUE)</formula>
    </cfRule>
  </conditionalFormatting>
  <conditionalFormatting sqref="P58:Q59">
    <cfRule type="expression" dxfId="1211" priority="765">
      <formula>AND($K$59,$E$59)=TRUE</formula>
    </cfRule>
  </conditionalFormatting>
  <conditionalFormatting sqref="P61:Q61">
    <cfRule type="expression" dxfId="1210" priority="767">
      <formula>AND($K$59,$E$59)=TRUE</formula>
    </cfRule>
  </conditionalFormatting>
  <conditionalFormatting sqref="P67:Q67">
    <cfRule type="expression" dxfId="1209" priority="761">
      <formula>AND(K68=TRUE,$E$68=TRUE)</formula>
    </cfRule>
  </conditionalFormatting>
  <conditionalFormatting sqref="P76:Q76">
    <cfRule type="expression" dxfId="1208" priority="752">
      <formula>AND(K77=TRUE,$E$77=TRUE)</formula>
    </cfRule>
  </conditionalFormatting>
  <conditionalFormatting sqref="P85:Q85">
    <cfRule type="expression" dxfId="1207" priority="743">
      <formula>AND(K86=TRUE,$E$86=TRUE)</formula>
    </cfRule>
  </conditionalFormatting>
  <conditionalFormatting sqref="P94:Q94">
    <cfRule type="expression" dxfId="1206" priority="734">
      <formula>AND(K95=TRUE,$E$95=TRUE)</formula>
    </cfRule>
  </conditionalFormatting>
  <conditionalFormatting sqref="P103:Q103">
    <cfRule type="expression" dxfId="1205" priority="725">
      <formula>AND(K104=TRUE,$E$104=TRUE)</formula>
    </cfRule>
  </conditionalFormatting>
  <conditionalFormatting sqref="P112:Q112">
    <cfRule type="expression" dxfId="1204" priority="716">
      <formula>AND(K113=TRUE,$E$113=TRUE)</formula>
    </cfRule>
  </conditionalFormatting>
  <conditionalFormatting sqref="P121:Q122">
    <cfRule type="expression" dxfId="1203" priority="702">
      <formula>AND($K$122,$E$122)=TRUE</formula>
    </cfRule>
  </conditionalFormatting>
  <conditionalFormatting sqref="P124:Q124">
    <cfRule type="expression" dxfId="1202" priority="704">
      <formula>AND($K$122,$E$122)=TRUE</formula>
    </cfRule>
  </conditionalFormatting>
  <conditionalFormatting sqref="P130:Q130">
    <cfRule type="expression" dxfId="1201" priority="698">
      <formula>AND(K131,$E$131)=TRUE</formula>
    </cfRule>
  </conditionalFormatting>
  <conditionalFormatting sqref="P139:Q140">
    <cfRule type="expression" dxfId="1200" priority="684">
      <formula>AND($K$140,$E$140)=TRUE</formula>
    </cfRule>
  </conditionalFormatting>
  <conditionalFormatting sqref="P142:Q142">
    <cfRule type="expression" dxfId="1199" priority="686">
      <formula>AND($K$140,$E$140)=TRUE</formula>
    </cfRule>
  </conditionalFormatting>
  <conditionalFormatting sqref="P148:Q149">
    <cfRule type="expression" dxfId="1198" priority="675">
      <formula>AND($K$149,$E$149)=TRUE</formula>
    </cfRule>
  </conditionalFormatting>
  <conditionalFormatting sqref="P151:Q151">
    <cfRule type="expression" dxfId="1197" priority="677">
      <formula>AND($K$149,$E$149)=TRUE</formula>
    </cfRule>
  </conditionalFormatting>
  <conditionalFormatting sqref="P157:Q158">
    <cfRule type="expression" dxfId="1196" priority="666">
      <formula>AND($K$158,$E$158)=TRUE</formula>
    </cfRule>
  </conditionalFormatting>
  <conditionalFormatting sqref="P160:Q160">
    <cfRule type="expression" dxfId="1195" priority="668">
      <formula>AND($K$158,$E$158)=TRUE</formula>
    </cfRule>
  </conditionalFormatting>
  <conditionalFormatting sqref="P166:Q166">
    <cfRule type="expression" dxfId="1194" priority="662">
      <formula>AND(K167,$E$167)=TRUE</formula>
    </cfRule>
  </conditionalFormatting>
  <conditionalFormatting sqref="P175:Q176">
    <cfRule type="expression" dxfId="1193" priority="648">
      <formula>AND($K$176=TRUE,$E$176=TRUE)</formula>
    </cfRule>
  </conditionalFormatting>
  <conditionalFormatting sqref="P178:Q178">
    <cfRule type="expression" dxfId="1192" priority="650">
      <formula>AND($K$176=TRUE,$E$176=TRUE)</formula>
    </cfRule>
  </conditionalFormatting>
  <conditionalFormatting sqref="P184:Q185">
    <cfRule type="expression" dxfId="1191" priority="639">
      <formula>AND($K$185=TRUE,$E$185=TRUE)</formula>
    </cfRule>
  </conditionalFormatting>
  <conditionalFormatting sqref="P187:Q187">
    <cfRule type="expression" dxfId="1190" priority="641">
      <formula>AND($K$185=TRUE,$E$185=TRUE)</formula>
    </cfRule>
  </conditionalFormatting>
  <conditionalFormatting sqref="Q14">
    <cfRule type="expression" dxfId="1189" priority="819">
      <formula>AND(K14=TRUE,$E$14=TRUE)</formula>
    </cfRule>
  </conditionalFormatting>
  <conditionalFormatting sqref="Q15">
    <cfRule type="expression" dxfId="1188" priority="823">
      <formula>AND(K14,P14,E14)=TRUE</formula>
    </cfRule>
  </conditionalFormatting>
  <conditionalFormatting sqref="Q16">
    <cfRule type="expression" dxfId="1187" priority="822">
      <formula>AND(K14=TRUE,$E$14=TRUE)</formula>
    </cfRule>
    <cfRule type="expression" dxfId="1186" priority="1022">
      <formula>P13=TRUE</formula>
    </cfRule>
  </conditionalFormatting>
  <conditionalFormatting sqref="Q17">
    <cfRule type="expression" dxfId="1185" priority="1015">
      <formula>AND(P16,K14,E14)=TRUE</formula>
    </cfRule>
  </conditionalFormatting>
  <conditionalFormatting sqref="Q18">
    <cfRule type="expression" dxfId="1184" priority="1025">
      <formula>AND(P16,K14,E14)=TRUE</formula>
    </cfRule>
  </conditionalFormatting>
  <conditionalFormatting sqref="Q23">
    <cfRule type="expression" dxfId="1183" priority="801">
      <formula>AND(K23=TRUE,E23=TRUE)</formula>
    </cfRule>
  </conditionalFormatting>
  <conditionalFormatting sqref="Q24">
    <cfRule type="expression" dxfId="1182" priority="805">
      <formula>AND(K23,P23,E23)=TRUE</formula>
    </cfRule>
  </conditionalFormatting>
  <conditionalFormatting sqref="Q25">
    <cfRule type="expression" dxfId="1181" priority="804">
      <formula>AND(K23=TRUE,E23=TRUE)</formula>
    </cfRule>
    <cfRule type="expression" dxfId="1180" priority="808">
      <formula>P22=TRUE</formula>
    </cfRule>
  </conditionalFormatting>
  <conditionalFormatting sqref="Q26">
    <cfRule type="expression" dxfId="1179" priority="807">
      <formula>AND(P25,K23,E23)=TRUE</formula>
    </cfRule>
  </conditionalFormatting>
  <conditionalFormatting sqref="Q27">
    <cfRule type="expression" dxfId="1178" priority="809">
      <formula>AND(P25,K23,E23)=TRUE</formula>
    </cfRule>
  </conditionalFormatting>
  <conditionalFormatting sqref="Q32">
    <cfRule type="expression" dxfId="1177" priority="792">
      <formula>AND(K32=TRUE,$E$32=TRUE)</formula>
    </cfRule>
  </conditionalFormatting>
  <conditionalFormatting sqref="Q33">
    <cfRule type="expression" dxfId="1176" priority="796">
      <formula>AND(K32,P32,E32)=TRUE</formula>
    </cfRule>
  </conditionalFormatting>
  <conditionalFormatting sqref="Q34">
    <cfRule type="expression" dxfId="1175" priority="795">
      <formula>AND(K32=TRUE,$E$32=TRUE)</formula>
    </cfRule>
    <cfRule type="expression" dxfId="1174" priority="799">
      <formula>P31=TRUE</formula>
    </cfRule>
  </conditionalFormatting>
  <conditionalFormatting sqref="Q35">
    <cfRule type="expression" dxfId="1173" priority="798">
      <formula>AND(P34,K32,E32)=TRUE</formula>
    </cfRule>
  </conditionalFormatting>
  <conditionalFormatting sqref="Q36">
    <cfRule type="expression" dxfId="1172" priority="800">
      <formula>AND(P34,K32,E32)=TRUE</formula>
    </cfRule>
  </conditionalFormatting>
  <conditionalFormatting sqref="Q41">
    <cfRule type="expression" dxfId="1171" priority="783">
      <formula>AND(K41,$E$41)=TRUE</formula>
    </cfRule>
  </conditionalFormatting>
  <conditionalFormatting sqref="Q42">
    <cfRule type="expression" dxfId="1170" priority="787">
      <formula>AND(K41,P41,E41)=TRUE</formula>
    </cfRule>
  </conditionalFormatting>
  <conditionalFormatting sqref="Q43">
    <cfRule type="expression" dxfId="1169" priority="786">
      <formula>AND(K41,$E$41)=TRUE</formula>
    </cfRule>
    <cfRule type="expression" dxfId="1168" priority="790">
      <formula>P40=TRUE</formula>
    </cfRule>
  </conditionalFormatting>
  <conditionalFormatting sqref="Q44">
    <cfRule type="expression" dxfId="1167" priority="789">
      <formula>AND(P43,K41,E41)=TRUE</formula>
    </cfRule>
  </conditionalFormatting>
  <conditionalFormatting sqref="Q45">
    <cfRule type="expression" dxfId="1166" priority="791">
      <formula>AND(P43,K41,E41)=TRUE</formula>
    </cfRule>
  </conditionalFormatting>
  <conditionalFormatting sqref="Q50">
    <cfRule type="expression" dxfId="1165" priority="774">
      <formula>AND(K50=TRUE,$E$50=TRUE)</formula>
    </cfRule>
  </conditionalFormatting>
  <conditionalFormatting sqref="Q51">
    <cfRule type="expression" dxfId="1164" priority="778">
      <formula>AND(K50,P50,$E$50)=TRUE</formula>
    </cfRule>
  </conditionalFormatting>
  <conditionalFormatting sqref="Q52">
    <cfRule type="expression" dxfId="1163" priority="777">
      <formula>AND(K50=TRUE,$E$50=TRUE)</formula>
    </cfRule>
    <cfRule type="expression" dxfId="1162" priority="781">
      <formula>P49=TRUE</formula>
    </cfRule>
  </conditionalFormatting>
  <conditionalFormatting sqref="Q53">
    <cfRule type="expression" dxfId="1161" priority="780">
      <formula>AND(P52,K50,$E$50)=TRUE</formula>
    </cfRule>
  </conditionalFormatting>
  <conditionalFormatting sqref="Q54">
    <cfRule type="expression" dxfId="1160" priority="782">
      <formula>AND(P52,K50,$E$50)=TRUE</formula>
    </cfRule>
  </conditionalFormatting>
  <conditionalFormatting sqref="Q60">
    <cfRule type="expression" dxfId="1159" priority="769">
      <formula>AND(K59,P59,$E$59)=TRUE</formula>
    </cfRule>
  </conditionalFormatting>
  <conditionalFormatting sqref="Q61">
    <cfRule type="expression" dxfId="1158" priority="772">
      <formula>P58=TRUE</formula>
    </cfRule>
  </conditionalFormatting>
  <conditionalFormatting sqref="Q62">
    <cfRule type="expression" dxfId="1157" priority="771">
      <formula>AND(P61,K59,$E$59)=TRUE</formula>
    </cfRule>
  </conditionalFormatting>
  <conditionalFormatting sqref="Q63">
    <cfRule type="expression" dxfId="1156" priority="773">
      <formula>AND(P61,K59,$E$59)=TRUE</formula>
    </cfRule>
  </conditionalFormatting>
  <conditionalFormatting sqref="Q68">
    <cfRule type="expression" dxfId="1155" priority="756">
      <formula>AND(K68=TRUE,$E$68=TRUE)</formula>
    </cfRule>
  </conditionalFormatting>
  <conditionalFormatting sqref="Q69">
    <cfRule type="expression" dxfId="1154" priority="760">
      <formula>AND(K68,P68,$E$68)=TRUE</formula>
    </cfRule>
  </conditionalFormatting>
  <conditionalFormatting sqref="Q70">
    <cfRule type="expression" dxfId="1153" priority="759">
      <formula>AND(K68=TRUE,$E$68=TRUE)</formula>
    </cfRule>
    <cfRule type="expression" dxfId="1152" priority="763">
      <formula>P67=TRUE</formula>
    </cfRule>
  </conditionalFormatting>
  <conditionalFormatting sqref="Q71">
    <cfRule type="expression" dxfId="1151" priority="762">
      <formula>AND(P70,K68,$E$68)=TRUE</formula>
    </cfRule>
  </conditionalFormatting>
  <conditionalFormatting sqref="Q72">
    <cfRule type="expression" dxfId="1150" priority="764">
      <formula>AND(P70,K68,$E$68)=TRUE</formula>
    </cfRule>
  </conditionalFormatting>
  <conditionalFormatting sqref="Q77">
    <cfRule type="expression" dxfId="1149" priority="747">
      <formula>AND(K77=TRUE,$E$77=TRUE)</formula>
    </cfRule>
  </conditionalFormatting>
  <conditionalFormatting sqref="Q78">
    <cfRule type="expression" dxfId="1148" priority="751">
      <formula>AND(K77,P77,$E$77)=TRUE</formula>
    </cfRule>
  </conditionalFormatting>
  <conditionalFormatting sqref="Q79">
    <cfRule type="expression" dxfId="1147" priority="750">
      <formula>AND(K77=TRUE,$E$77=TRUE)</formula>
    </cfRule>
    <cfRule type="expression" dxfId="1146" priority="754">
      <formula>P76=TRUE</formula>
    </cfRule>
  </conditionalFormatting>
  <conditionalFormatting sqref="Q80">
    <cfRule type="expression" dxfId="1145" priority="753">
      <formula>AND(P79,K77,$E$77)=TRUE</formula>
    </cfRule>
  </conditionalFormatting>
  <conditionalFormatting sqref="Q81">
    <cfRule type="expression" dxfId="1144" priority="755">
      <formula>AND(P79,K77,$E$77)=TRUE</formula>
    </cfRule>
  </conditionalFormatting>
  <conditionalFormatting sqref="Q86">
    <cfRule type="expression" dxfId="1143" priority="738">
      <formula>AND(K86=TRUE,$E$86=TRUE)</formula>
    </cfRule>
  </conditionalFormatting>
  <conditionalFormatting sqref="Q87">
    <cfRule type="expression" dxfId="1142" priority="742">
      <formula>AND(K86,P86,$E$86)=TRUE</formula>
    </cfRule>
  </conditionalFormatting>
  <conditionalFormatting sqref="Q88">
    <cfRule type="expression" dxfId="1141" priority="741">
      <formula>AND(K86=TRUE,$E$86=TRUE)</formula>
    </cfRule>
    <cfRule type="expression" dxfId="1140" priority="745">
      <formula>P85=TRUE</formula>
    </cfRule>
  </conditionalFormatting>
  <conditionalFormatting sqref="Q89">
    <cfRule type="expression" dxfId="1139" priority="744">
      <formula>AND(P88,K86,$E$86)=TRUE</formula>
    </cfRule>
  </conditionalFormatting>
  <conditionalFormatting sqref="Q90">
    <cfRule type="expression" dxfId="1138" priority="746">
      <formula>AND(P88,K86,$E$86)=TRUE</formula>
    </cfRule>
  </conditionalFormatting>
  <conditionalFormatting sqref="Q95">
    <cfRule type="expression" dxfId="1137" priority="729">
      <formula>AND(K95=TRUE,$E$95=TRUE)</formula>
    </cfRule>
  </conditionalFormatting>
  <conditionalFormatting sqref="Q96">
    <cfRule type="expression" dxfId="1136" priority="733">
      <formula>AND(K95,P95,$E$95)=TRUE</formula>
    </cfRule>
  </conditionalFormatting>
  <conditionalFormatting sqref="Q97">
    <cfRule type="expression" dxfId="1135" priority="732">
      <formula>AND(K95=TRUE,$E$95=TRUE)</formula>
    </cfRule>
    <cfRule type="expression" dxfId="1134" priority="736">
      <formula>P94=TRUE</formula>
    </cfRule>
  </conditionalFormatting>
  <conditionalFormatting sqref="Q98">
    <cfRule type="expression" dxfId="1133" priority="735">
      <formula>AND(P97,K95,$E$95)=TRUE</formula>
    </cfRule>
  </conditionalFormatting>
  <conditionalFormatting sqref="Q99">
    <cfRule type="expression" dxfId="1132" priority="737">
      <formula>AND(P97,K95,$E$95)=TRUE</formula>
    </cfRule>
  </conditionalFormatting>
  <conditionalFormatting sqref="Q104">
    <cfRule type="expression" dxfId="1131" priority="720">
      <formula>AND(K104=TRUE,$E$104=TRUE)</formula>
    </cfRule>
  </conditionalFormatting>
  <conditionalFormatting sqref="Q105">
    <cfRule type="expression" dxfId="1130" priority="724">
      <formula>AND(K104,P104,$E$104)=TRUE</formula>
    </cfRule>
  </conditionalFormatting>
  <conditionalFormatting sqref="Q106">
    <cfRule type="expression" dxfId="1129" priority="723">
      <formula>AND(K104=TRUE,$E$104=TRUE)</formula>
    </cfRule>
    <cfRule type="expression" dxfId="1128" priority="727">
      <formula>P103=TRUE</formula>
    </cfRule>
  </conditionalFormatting>
  <conditionalFormatting sqref="Q107">
    <cfRule type="expression" dxfId="1127" priority="726">
      <formula>AND(P106,K104,$E$104)=TRUE</formula>
    </cfRule>
  </conditionalFormatting>
  <conditionalFormatting sqref="Q108">
    <cfRule type="expression" dxfId="1126" priority="728">
      <formula>AND(P106,K104,$E$104)=TRUE</formula>
    </cfRule>
  </conditionalFormatting>
  <conditionalFormatting sqref="Q113">
    <cfRule type="expression" dxfId="1125" priority="711">
      <formula>AND(K113=TRUE,$E$113=TRUE)</formula>
    </cfRule>
  </conditionalFormatting>
  <conditionalFormatting sqref="Q114">
    <cfRule type="expression" dxfId="1124" priority="715">
      <formula>AND(K113,P113,$E$113)=TRUE</formula>
    </cfRule>
  </conditionalFormatting>
  <conditionalFormatting sqref="Q115">
    <cfRule type="expression" dxfId="1123" priority="714">
      <formula>AND(K113=TRUE,$E$113=TRUE)</formula>
    </cfRule>
    <cfRule type="expression" dxfId="1122" priority="718">
      <formula>P112=TRUE</formula>
    </cfRule>
  </conditionalFormatting>
  <conditionalFormatting sqref="Q116">
    <cfRule type="expression" dxfId="1121" priority="717">
      <formula>AND(P115,K113,$E$113)=TRUE</formula>
    </cfRule>
  </conditionalFormatting>
  <conditionalFormatting sqref="Q117">
    <cfRule type="expression" dxfId="1120" priority="719">
      <formula>AND(P115,K113,$E$113)=TRUE</formula>
    </cfRule>
  </conditionalFormatting>
  <conditionalFormatting sqref="Q123">
    <cfRule type="expression" dxfId="1119" priority="706">
      <formula>AND(K122,P122,E122)</formula>
    </cfRule>
  </conditionalFormatting>
  <conditionalFormatting sqref="Q124">
    <cfRule type="expression" dxfId="1118" priority="709">
      <formula>P121=TRUE</formula>
    </cfRule>
  </conditionalFormatting>
  <conditionalFormatting sqref="Q125">
    <cfRule type="expression" dxfId="1117" priority="708">
      <formula>AND(P124,K122,$E$122)=TRUE</formula>
    </cfRule>
  </conditionalFormatting>
  <conditionalFormatting sqref="Q126">
    <cfRule type="expression" dxfId="1116" priority="710">
      <formula>AND(P124,K122,E122)=TRUE</formula>
    </cfRule>
  </conditionalFormatting>
  <conditionalFormatting sqref="Q131">
    <cfRule type="expression" dxfId="1115" priority="693">
      <formula>AND(K131,$E$131)=TRUE</formula>
    </cfRule>
  </conditionalFormatting>
  <conditionalFormatting sqref="Q132">
    <cfRule type="expression" dxfId="1114" priority="697">
      <formula>AND(K131,P131,$E$131)=TRUE</formula>
    </cfRule>
  </conditionalFormatting>
  <conditionalFormatting sqref="Q133">
    <cfRule type="expression" dxfId="1113" priority="696">
      <formula>AND(K131,$E$131)=TRUE</formula>
    </cfRule>
    <cfRule type="expression" dxfId="1112" priority="700">
      <formula>AND(K131,$E$131)=TRUE</formula>
    </cfRule>
  </conditionalFormatting>
  <conditionalFormatting sqref="Q134">
    <cfRule type="expression" dxfId="1111" priority="699">
      <formula>AND(P133,K131,$E$131)=TRUE</formula>
    </cfRule>
  </conditionalFormatting>
  <conditionalFormatting sqref="Q135">
    <cfRule type="expression" dxfId="1110" priority="701">
      <formula>AND(P133,K131,$E$131)=TRUE</formula>
    </cfRule>
  </conditionalFormatting>
  <conditionalFormatting sqref="Q141">
    <cfRule type="expression" dxfId="1109" priority="688">
      <formula>AND(K140,P140,$E$140)=TRUE</formula>
    </cfRule>
  </conditionalFormatting>
  <conditionalFormatting sqref="Q142">
    <cfRule type="expression" dxfId="1108" priority="691">
      <formula>P139=TRUE</formula>
    </cfRule>
  </conditionalFormatting>
  <conditionalFormatting sqref="Q143">
    <cfRule type="expression" dxfId="1107" priority="690">
      <formula>AND(P142,K140,$E$140)=TRUE</formula>
    </cfRule>
  </conditionalFormatting>
  <conditionalFormatting sqref="Q144">
    <cfRule type="expression" dxfId="1106" priority="692">
      <formula>AND(P142,K140,$E$140)=TRUE</formula>
    </cfRule>
  </conditionalFormatting>
  <conditionalFormatting sqref="Q150">
    <cfRule type="expression" dxfId="1105" priority="679">
      <formula>AND(K149,P149,$E$149)=TRUE</formula>
    </cfRule>
  </conditionalFormatting>
  <conditionalFormatting sqref="Q151">
    <cfRule type="expression" dxfId="1104" priority="682">
      <formula>P148=TRUE</formula>
    </cfRule>
  </conditionalFormatting>
  <conditionalFormatting sqref="Q152">
    <cfRule type="expression" dxfId="1103" priority="681">
      <formula>AND(P151,K149,$E$149)=TRUE</formula>
    </cfRule>
  </conditionalFormatting>
  <conditionalFormatting sqref="Q153">
    <cfRule type="expression" dxfId="1102" priority="683">
      <formula>AND(P151,K149,$E$149)=TRUE</formula>
    </cfRule>
  </conditionalFormatting>
  <conditionalFormatting sqref="Q159">
    <cfRule type="expression" dxfId="1101" priority="670">
      <formula>AND(K158,P158,$E$158)=TRUE</formula>
    </cfRule>
  </conditionalFormatting>
  <conditionalFormatting sqref="Q160">
    <cfRule type="expression" dxfId="1100" priority="673">
      <formula>P157=TRUE</formula>
    </cfRule>
  </conditionalFormatting>
  <conditionalFormatting sqref="Q161">
    <cfRule type="expression" dxfId="1099" priority="672">
      <formula>AND(P160,K158,$E$158)=TRUE</formula>
    </cfRule>
  </conditionalFormatting>
  <conditionalFormatting sqref="Q162">
    <cfRule type="expression" dxfId="1098" priority="674">
      <formula>AND(P160,K158,$E$158)=TRUE</formula>
    </cfRule>
  </conditionalFormatting>
  <conditionalFormatting sqref="Q167">
    <cfRule type="expression" dxfId="1097" priority="657">
      <formula>AND($K$167,$E$167)=TRUE</formula>
    </cfRule>
  </conditionalFormatting>
  <conditionalFormatting sqref="Q168">
    <cfRule type="expression" dxfId="1096" priority="661">
      <formula>AND(K167,P167,$E$167)=TRUE</formula>
    </cfRule>
  </conditionalFormatting>
  <conditionalFormatting sqref="Q169">
    <cfRule type="expression" dxfId="1095" priority="660">
      <formula>AND(K167,$E$167)=TRUE</formula>
    </cfRule>
    <cfRule type="expression" dxfId="1094" priority="664">
      <formula>P166=TRUE</formula>
    </cfRule>
  </conditionalFormatting>
  <conditionalFormatting sqref="Q170">
    <cfRule type="expression" dxfId="1093" priority="663">
      <formula>AND(P169,K167,$E$167)=TRUE</formula>
    </cfRule>
  </conditionalFormatting>
  <conditionalFormatting sqref="Q171">
    <cfRule type="expression" dxfId="1092" priority="665">
      <formula>AND(P169,K167,$E$167)=TRUE</formula>
    </cfRule>
  </conditionalFormatting>
  <conditionalFormatting sqref="Q177">
    <cfRule type="expression" dxfId="1091" priority="652">
      <formula>AND(K176,P176,$E$176)=TRUE</formula>
    </cfRule>
  </conditionalFormatting>
  <conditionalFormatting sqref="Q178">
    <cfRule type="expression" dxfId="1090" priority="655">
      <formula>P175=TRUE</formula>
    </cfRule>
  </conditionalFormatting>
  <conditionalFormatting sqref="Q179">
    <cfRule type="expression" dxfId="1089" priority="654">
      <formula>AND(P178,K176,$E$176)=TRUE</formula>
    </cfRule>
  </conditionalFormatting>
  <conditionalFormatting sqref="Q180">
    <cfRule type="expression" dxfId="1088" priority="656">
      <formula>AND(P178,K176,$E$176)=TRUE</formula>
    </cfRule>
  </conditionalFormatting>
  <conditionalFormatting sqref="Q186">
    <cfRule type="expression" dxfId="1087" priority="643">
      <formula>AND(K185,P185,$E$185=TRUE)</formula>
    </cfRule>
  </conditionalFormatting>
  <conditionalFormatting sqref="Q187">
    <cfRule type="expression" dxfId="1086" priority="646">
      <formula>P184=TRUE</formula>
    </cfRule>
  </conditionalFormatting>
  <conditionalFormatting sqref="Q188">
    <cfRule type="expression" dxfId="1085" priority="645">
      <formula>AND(P187,K185)=TRUE</formula>
    </cfRule>
  </conditionalFormatting>
  <conditionalFormatting sqref="Q189">
    <cfRule type="expression" dxfId="1084" priority="1">
      <formula>AND($P$187=TRUE,$K$185=TRUE,$E$185=TRUE)</formula>
    </cfRule>
  </conditionalFormatting>
  <conditionalFormatting sqref="Q10:R10">
    <cfRule type="expression" dxfId="1083" priority="4503">
      <formula>OR(K14,K23,K32,K41,K50,K59,K68,K77,K86,K95,K104,K113,K122,K131,K140,K149,K158,K167,K176,K185)=TRUE</formula>
    </cfRule>
  </conditionalFormatting>
  <conditionalFormatting sqref="S14">
    <cfRule type="expression" dxfId="1082" priority="473">
      <formula>E15=TRUE</formula>
    </cfRule>
  </conditionalFormatting>
  <conditionalFormatting sqref="S16">
    <cfRule type="expression" dxfId="1081" priority="466">
      <formula>E15=TRUE</formula>
    </cfRule>
  </conditionalFormatting>
  <conditionalFormatting sqref="S17">
    <cfRule type="expression" dxfId="1080" priority="467">
      <formula>E15=TRUE</formula>
    </cfRule>
  </conditionalFormatting>
  <conditionalFormatting sqref="S23">
    <cfRule type="expression" dxfId="1079" priority="463">
      <formula>E24=TRUE</formula>
    </cfRule>
  </conditionalFormatting>
  <conditionalFormatting sqref="S25">
    <cfRule type="expression" dxfId="1078" priority="456">
      <formula>E24=TRUE</formula>
    </cfRule>
  </conditionalFormatting>
  <conditionalFormatting sqref="S26">
    <cfRule type="expression" dxfId="1077" priority="457">
      <formula>E24=TRUE</formula>
    </cfRule>
  </conditionalFormatting>
  <conditionalFormatting sqref="S32">
    <cfRule type="expression" dxfId="1076" priority="453">
      <formula>E33=TRUE</formula>
    </cfRule>
  </conditionalFormatting>
  <conditionalFormatting sqref="S34">
    <cfRule type="expression" dxfId="1075" priority="446">
      <formula>E33=TRUE</formula>
    </cfRule>
  </conditionalFormatting>
  <conditionalFormatting sqref="S35">
    <cfRule type="expression" dxfId="1074" priority="447">
      <formula>E33=TRUE</formula>
    </cfRule>
  </conditionalFormatting>
  <conditionalFormatting sqref="S41">
    <cfRule type="expression" dxfId="1073" priority="443">
      <formula>E42=TRUE</formula>
    </cfRule>
  </conditionalFormatting>
  <conditionalFormatting sqref="S43">
    <cfRule type="expression" dxfId="1072" priority="436">
      <formula>E42=TRUE</formula>
    </cfRule>
  </conditionalFormatting>
  <conditionalFormatting sqref="S44">
    <cfRule type="expression" dxfId="1071" priority="437">
      <formula>E42=TRUE</formula>
    </cfRule>
  </conditionalFormatting>
  <conditionalFormatting sqref="S50">
    <cfRule type="expression" dxfId="1070" priority="433">
      <formula>E51=TRUE</formula>
    </cfRule>
  </conditionalFormatting>
  <conditionalFormatting sqref="S52">
    <cfRule type="expression" dxfId="1069" priority="426">
      <formula>E51=TRUE</formula>
    </cfRule>
  </conditionalFormatting>
  <conditionalFormatting sqref="S53">
    <cfRule type="expression" dxfId="1068" priority="427">
      <formula>E51=TRUE</formula>
    </cfRule>
  </conditionalFormatting>
  <conditionalFormatting sqref="S59">
    <cfRule type="expression" dxfId="1067" priority="423">
      <formula>E60=TRUE</formula>
    </cfRule>
  </conditionalFormatting>
  <conditionalFormatting sqref="S61">
    <cfRule type="expression" dxfId="1066" priority="416">
      <formula>E60=TRUE</formula>
    </cfRule>
  </conditionalFormatting>
  <conditionalFormatting sqref="S62">
    <cfRule type="expression" dxfId="1065" priority="417">
      <formula>E60=TRUE</formula>
    </cfRule>
  </conditionalFormatting>
  <conditionalFormatting sqref="S68">
    <cfRule type="expression" dxfId="1064" priority="413">
      <formula>E69=TRUE</formula>
    </cfRule>
  </conditionalFormatting>
  <conditionalFormatting sqref="S70">
    <cfRule type="expression" dxfId="1063" priority="406">
      <formula>E69=TRUE</formula>
    </cfRule>
  </conditionalFormatting>
  <conditionalFormatting sqref="S71">
    <cfRule type="expression" dxfId="1062" priority="407">
      <formula>E69=TRUE</formula>
    </cfRule>
  </conditionalFormatting>
  <conditionalFormatting sqref="S77">
    <cfRule type="expression" dxfId="1061" priority="403">
      <formula>E78=TRUE</formula>
    </cfRule>
  </conditionalFormatting>
  <conditionalFormatting sqref="S79">
    <cfRule type="expression" dxfId="1060" priority="396">
      <formula>E78=TRUE</formula>
    </cfRule>
  </conditionalFormatting>
  <conditionalFormatting sqref="S80">
    <cfRule type="expression" dxfId="1059" priority="397">
      <formula>E78=TRUE</formula>
    </cfRule>
  </conditionalFormatting>
  <conditionalFormatting sqref="S86">
    <cfRule type="expression" dxfId="1058" priority="393">
      <formula>E87=TRUE</formula>
    </cfRule>
  </conditionalFormatting>
  <conditionalFormatting sqref="S88">
    <cfRule type="expression" dxfId="1057" priority="386">
      <formula>E87=TRUE</formula>
    </cfRule>
  </conditionalFormatting>
  <conditionalFormatting sqref="S89">
    <cfRule type="expression" dxfId="1056" priority="387">
      <formula>E87=TRUE</formula>
    </cfRule>
  </conditionalFormatting>
  <conditionalFormatting sqref="S95">
    <cfRule type="expression" dxfId="1055" priority="383">
      <formula>E96=TRUE</formula>
    </cfRule>
  </conditionalFormatting>
  <conditionalFormatting sqref="S97">
    <cfRule type="expression" dxfId="1054" priority="376">
      <formula>E96=TRUE</formula>
    </cfRule>
  </conditionalFormatting>
  <conditionalFormatting sqref="S98">
    <cfRule type="expression" dxfId="1053" priority="377">
      <formula>E96=TRUE</formula>
    </cfRule>
  </conditionalFormatting>
  <conditionalFormatting sqref="S104">
    <cfRule type="expression" dxfId="1052" priority="373">
      <formula>E105=TRUE</formula>
    </cfRule>
  </conditionalFormatting>
  <conditionalFormatting sqref="S106">
    <cfRule type="expression" dxfId="1051" priority="366">
      <formula>E105=TRUE</formula>
    </cfRule>
  </conditionalFormatting>
  <conditionalFormatting sqref="S107">
    <cfRule type="expression" dxfId="1050" priority="367">
      <formula>E105=TRUE</formula>
    </cfRule>
  </conditionalFormatting>
  <conditionalFormatting sqref="S113">
    <cfRule type="expression" dxfId="1049" priority="363">
      <formula>E114=TRUE</formula>
    </cfRule>
  </conditionalFormatting>
  <conditionalFormatting sqref="S115">
    <cfRule type="expression" dxfId="1048" priority="356">
      <formula>E114=TRUE</formula>
    </cfRule>
  </conditionalFormatting>
  <conditionalFormatting sqref="S116">
    <cfRule type="expression" dxfId="1047" priority="357">
      <formula>E114=TRUE</formula>
    </cfRule>
  </conditionalFormatting>
  <conditionalFormatting sqref="S122">
    <cfRule type="expression" dxfId="1046" priority="353">
      <formula>E123=TRUE</formula>
    </cfRule>
  </conditionalFormatting>
  <conditionalFormatting sqref="S124">
    <cfRule type="expression" dxfId="1045" priority="346">
      <formula>E123=TRUE</formula>
    </cfRule>
  </conditionalFormatting>
  <conditionalFormatting sqref="S125">
    <cfRule type="expression" dxfId="1044" priority="347">
      <formula>E123=TRUE</formula>
    </cfRule>
  </conditionalFormatting>
  <conditionalFormatting sqref="S131">
    <cfRule type="expression" dxfId="1043" priority="343">
      <formula>E132=TRUE</formula>
    </cfRule>
  </conditionalFormatting>
  <conditionalFormatting sqref="S133">
    <cfRule type="expression" dxfId="1042" priority="336">
      <formula>E132=TRUE</formula>
    </cfRule>
  </conditionalFormatting>
  <conditionalFormatting sqref="S134">
    <cfRule type="expression" dxfId="1041" priority="337">
      <formula>E132=TRUE</formula>
    </cfRule>
  </conditionalFormatting>
  <conditionalFormatting sqref="S140">
    <cfRule type="expression" dxfId="1040" priority="333">
      <formula>E141=TRUE</formula>
    </cfRule>
  </conditionalFormatting>
  <conditionalFormatting sqref="S142">
    <cfRule type="expression" dxfId="1039" priority="326">
      <formula>E141=TRUE</formula>
    </cfRule>
  </conditionalFormatting>
  <conditionalFormatting sqref="S143">
    <cfRule type="expression" dxfId="1038" priority="327">
      <formula>E141=TRUE</formula>
    </cfRule>
  </conditionalFormatting>
  <conditionalFormatting sqref="S149">
    <cfRule type="expression" dxfId="1037" priority="323">
      <formula>E150=TRUE</formula>
    </cfRule>
  </conditionalFormatting>
  <conditionalFormatting sqref="S151">
    <cfRule type="expression" dxfId="1036" priority="316">
      <formula>E150=TRUE</formula>
    </cfRule>
  </conditionalFormatting>
  <conditionalFormatting sqref="S152">
    <cfRule type="expression" dxfId="1035" priority="317">
      <formula>E150=TRUE</formula>
    </cfRule>
  </conditionalFormatting>
  <conditionalFormatting sqref="S158">
    <cfRule type="expression" dxfId="1034" priority="313">
      <formula>E159=TRUE</formula>
    </cfRule>
  </conditionalFormatting>
  <conditionalFormatting sqref="S160">
    <cfRule type="expression" dxfId="1033" priority="306">
      <formula>E159=TRUE</formula>
    </cfRule>
  </conditionalFormatting>
  <conditionalFormatting sqref="S161">
    <cfRule type="expression" dxfId="1032" priority="307">
      <formula>E159=TRUE</formula>
    </cfRule>
  </conditionalFormatting>
  <conditionalFormatting sqref="S167">
    <cfRule type="expression" dxfId="1031" priority="303">
      <formula>E168=TRUE</formula>
    </cfRule>
  </conditionalFormatting>
  <conditionalFormatting sqref="S169">
    <cfRule type="expression" dxfId="1030" priority="296">
      <formula>E168=TRUE</formula>
    </cfRule>
  </conditionalFormatting>
  <conditionalFormatting sqref="S170">
    <cfRule type="expression" dxfId="1029" priority="297">
      <formula>E168=TRUE</formula>
    </cfRule>
  </conditionalFormatting>
  <conditionalFormatting sqref="S176">
    <cfRule type="expression" dxfId="1028" priority="293">
      <formula>E177=TRUE</formula>
    </cfRule>
  </conditionalFormatting>
  <conditionalFormatting sqref="S178">
    <cfRule type="expression" dxfId="1027" priority="286">
      <formula>E177=TRUE</formula>
    </cfRule>
  </conditionalFormatting>
  <conditionalFormatting sqref="S179">
    <cfRule type="expression" dxfId="1026" priority="287">
      <formula>E177=TRUE</formula>
    </cfRule>
  </conditionalFormatting>
  <conditionalFormatting sqref="S185">
    <cfRule type="expression" dxfId="1025" priority="283">
      <formula>E186=TRUE</formula>
    </cfRule>
  </conditionalFormatting>
  <conditionalFormatting sqref="S187">
    <cfRule type="expression" dxfId="1024" priority="276">
      <formula>E186=TRUE</formula>
    </cfRule>
  </conditionalFormatting>
  <conditionalFormatting sqref="S188">
    <cfRule type="expression" dxfId="1023" priority="277">
      <formula>E186=TRUE</formula>
    </cfRule>
  </conditionalFormatting>
  <conditionalFormatting sqref="S3:T3">
    <cfRule type="expression" dxfId="1022" priority="4504">
      <formula>OR(E15,E24,E33,E42,E51,E60,E69,E78,E87,E96,E105,E114,E123,E132,E141,E150,E159,E168,E177,E186)=TRUE</formula>
    </cfRule>
  </conditionalFormatting>
  <conditionalFormatting sqref="S10:T10">
    <cfRule type="expression" dxfId="1021" priority="4505">
      <formula>OR(E15,E24,E33,E42,E51,E60,E69,E78,E87,E96,E105,E114,E123,E132,E141,E150,E159,E168,E177,E186)=TRUE</formula>
    </cfRule>
  </conditionalFormatting>
  <conditionalFormatting sqref="S13:T13">
    <cfRule type="expression" dxfId="1020" priority="475">
      <formula>E15=TRUE</formula>
    </cfRule>
  </conditionalFormatting>
  <conditionalFormatting sqref="S15:T15">
    <cfRule type="expression" dxfId="1019" priority="472">
      <formula>E15=TRUE</formula>
    </cfRule>
  </conditionalFormatting>
  <conditionalFormatting sqref="S22:T22">
    <cfRule type="expression" dxfId="1018" priority="465">
      <formula>E24=TRUE</formula>
    </cfRule>
  </conditionalFormatting>
  <conditionalFormatting sqref="S24:T24">
    <cfRule type="expression" dxfId="1017" priority="462">
      <formula>E24=TRUE</formula>
    </cfRule>
  </conditionalFormatting>
  <conditionalFormatting sqref="S31:T31">
    <cfRule type="expression" dxfId="1016" priority="455">
      <formula>E33=TRUE</formula>
    </cfRule>
  </conditionalFormatting>
  <conditionalFormatting sqref="S33:T33">
    <cfRule type="expression" dxfId="1015" priority="452">
      <formula>E33=TRUE</formula>
    </cfRule>
  </conditionalFormatting>
  <conditionalFormatting sqref="S40:T40">
    <cfRule type="expression" dxfId="1014" priority="445">
      <formula>E42=TRUE</formula>
    </cfRule>
  </conditionalFormatting>
  <conditionalFormatting sqref="S42:T42">
    <cfRule type="expression" dxfId="1013" priority="442">
      <formula>E42=TRUE</formula>
    </cfRule>
  </conditionalFormatting>
  <conditionalFormatting sqref="S49:T49">
    <cfRule type="expression" dxfId="1012" priority="435">
      <formula>E51=TRUE</formula>
    </cfRule>
  </conditionalFormatting>
  <conditionalFormatting sqref="S51:T51">
    <cfRule type="expression" dxfId="1011" priority="432">
      <formula>E51=TRUE</formula>
    </cfRule>
  </conditionalFormatting>
  <conditionalFormatting sqref="S58:T58">
    <cfRule type="expression" dxfId="1010" priority="425">
      <formula>E60=TRUE</formula>
    </cfRule>
  </conditionalFormatting>
  <conditionalFormatting sqref="S60:T60">
    <cfRule type="expression" dxfId="1009" priority="422">
      <formula>E60=TRUE</formula>
    </cfRule>
  </conditionalFormatting>
  <conditionalFormatting sqref="S67:T67">
    <cfRule type="expression" dxfId="1008" priority="415">
      <formula>E69=TRUE</formula>
    </cfRule>
  </conditionalFormatting>
  <conditionalFormatting sqref="S69:T69">
    <cfRule type="expression" dxfId="1007" priority="412">
      <formula>E69=TRUE</formula>
    </cfRule>
  </conditionalFormatting>
  <conditionalFormatting sqref="S76:T76">
    <cfRule type="expression" dxfId="1006" priority="405">
      <formula>E78=TRUE</formula>
    </cfRule>
  </conditionalFormatting>
  <conditionalFormatting sqref="S78:T78">
    <cfRule type="expression" dxfId="1005" priority="402">
      <formula>E78=TRUE</formula>
    </cfRule>
  </conditionalFormatting>
  <conditionalFormatting sqref="S85:T85">
    <cfRule type="expression" dxfId="1004" priority="395">
      <formula>E87=TRUE</formula>
    </cfRule>
  </conditionalFormatting>
  <conditionalFormatting sqref="S87:T87">
    <cfRule type="expression" dxfId="1003" priority="392">
      <formula>E87=TRUE</formula>
    </cfRule>
  </conditionalFormatting>
  <conditionalFormatting sqref="S94:T94">
    <cfRule type="expression" dxfId="1002" priority="385">
      <formula>E96=TRUE</formula>
    </cfRule>
  </conditionalFormatting>
  <conditionalFormatting sqref="S96:T96">
    <cfRule type="expression" dxfId="1001" priority="382">
      <formula>E96=TRUE</formula>
    </cfRule>
  </conditionalFormatting>
  <conditionalFormatting sqref="S103:T103">
    <cfRule type="expression" dxfId="1000" priority="375">
      <formula>E105=TRUE</formula>
    </cfRule>
  </conditionalFormatting>
  <conditionalFormatting sqref="S105:T105">
    <cfRule type="expression" dxfId="999" priority="372">
      <formula>E105=TRUE</formula>
    </cfRule>
  </conditionalFormatting>
  <conditionalFormatting sqref="S112:T112">
    <cfRule type="expression" dxfId="998" priority="365">
      <formula>E114=TRUE</formula>
    </cfRule>
  </conditionalFormatting>
  <conditionalFormatting sqref="S114:T114">
    <cfRule type="expression" dxfId="997" priority="362">
      <formula>E114=TRUE</formula>
    </cfRule>
  </conditionalFormatting>
  <conditionalFormatting sqref="S121:T121">
    <cfRule type="expression" dxfId="996" priority="355">
      <formula>E123=TRUE</formula>
    </cfRule>
  </conditionalFormatting>
  <conditionalFormatting sqref="S123:T123">
    <cfRule type="expression" dxfId="995" priority="352">
      <formula>E123=TRUE</formula>
    </cfRule>
  </conditionalFormatting>
  <conditionalFormatting sqref="S130:T130">
    <cfRule type="expression" dxfId="994" priority="345">
      <formula>E132=TRUE</formula>
    </cfRule>
  </conditionalFormatting>
  <conditionalFormatting sqref="S132:T132">
    <cfRule type="expression" dxfId="993" priority="342">
      <formula>E132=TRUE</formula>
    </cfRule>
  </conditionalFormatting>
  <conditionalFormatting sqref="S139:T139">
    <cfRule type="expression" dxfId="992" priority="335">
      <formula>E141=TRUE</formula>
    </cfRule>
  </conditionalFormatting>
  <conditionalFormatting sqref="S141:T141">
    <cfRule type="expression" dxfId="991" priority="332">
      <formula>E141=TRUE</formula>
    </cfRule>
  </conditionalFormatting>
  <conditionalFormatting sqref="S148:T148">
    <cfRule type="expression" dxfId="990" priority="325">
      <formula>E150=TRUE</formula>
    </cfRule>
  </conditionalFormatting>
  <conditionalFormatting sqref="S150:T150">
    <cfRule type="expression" dxfId="989" priority="322">
      <formula>E150=TRUE</formula>
    </cfRule>
  </conditionalFormatting>
  <conditionalFormatting sqref="S157:T157">
    <cfRule type="expression" dxfId="988" priority="315">
      <formula>E159=TRUE</formula>
    </cfRule>
  </conditionalFormatting>
  <conditionalFormatting sqref="S159:T159">
    <cfRule type="expression" dxfId="987" priority="312">
      <formula>E159=TRUE</formula>
    </cfRule>
  </conditionalFormatting>
  <conditionalFormatting sqref="S166:T166">
    <cfRule type="expression" dxfId="986" priority="305">
      <formula>E168=TRUE</formula>
    </cfRule>
  </conditionalFormatting>
  <conditionalFormatting sqref="S168:T168">
    <cfRule type="expression" dxfId="985" priority="302">
      <formula>E168=TRUE</formula>
    </cfRule>
  </conditionalFormatting>
  <conditionalFormatting sqref="S175:T175">
    <cfRule type="expression" dxfId="984" priority="295">
      <formula>E177=TRUE</formula>
    </cfRule>
  </conditionalFormatting>
  <conditionalFormatting sqref="S177:T177">
    <cfRule type="expression" dxfId="983" priority="292">
      <formula>E177=TRUE</formula>
    </cfRule>
  </conditionalFormatting>
  <conditionalFormatting sqref="S184:T184">
    <cfRule type="expression" dxfId="982" priority="285">
      <formula>E186=TRUE</formula>
    </cfRule>
  </conditionalFormatting>
  <conditionalFormatting sqref="S186:T186">
    <cfRule type="expression" dxfId="981" priority="282">
      <formula>E186=TRUE</formula>
    </cfRule>
  </conditionalFormatting>
  <conditionalFormatting sqref="T14">
    <cfRule type="expression" dxfId="980" priority="474">
      <formula>E15=TRUE</formula>
    </cfRule>
  </conditionalFormatting>
  <conditionalFormatting sqref="T16">
    <cfRule type="expression" dxfId="979" priority="471">
      <formula>E15=TRUE</formula>
    </cfRule>
  </conditionalFormatting>
  <conditionalFormatting sqref="T17">
    <cfRule type="expression" dxfId="978" priority="470">
      <formula>E15=TRUE</formula>
    </cfRule>
  </conditionalFormatting>
  <conditionalFormatting sqref="T23">
    <cfRule type="expression" dxfId="977" priority="464">
      <formula>E24=TRUE</formula>
    </cfRule>
  </conditionalFormatting>
  <conditionalFormatting sqref="T25">
    <cfRule type="expression" dxfId="976" priority="461">
      <formula>E24=TRUE</formula>
    </cfRule>
  </conditionalFormatting>
  <conditionalFormatting sqref="T26">
    <cfRule type="expression" dxfId="975" priority="460">
      <formula>E24=TRUE</formula>
    </cfRule>
  </conditionalFormatting>
  <conditionalFormatting sqref="T32">
    <cfRule type="expression" dxfId="974" priority="454">
      <formula>E33=TRUE</formula>
    </cfRule>
  </conditionalFormatting>
  <conditionalFormatting sqref="T34">
    <cfRule type="expression" dxfId="973" priority="451">
      <formula>E33=TRUE</formula>
    </cfRule>
  </conditionalFormatting>
  <conditionalFormatting sqref="T35">
    <cfRule type="expression" dxfId="972" priority="450">
      <formula>E33=TRUE</formula>
    </cfRule>
  </conditionalFormatting>
  <conditionalFormatting sqref="T41">
    <cfRule type="expression" dxfId="971" priority="444">
      <formula>E42=TRUE</formula>
    </cfRule>
  </conditionalFormatting>
  <conditionalFormatting sqref="T43">
    <cfRule type="expression" dxfId="970" priority="441">
      <formula>E42=TRUE</formula>
    </cfRule>
  </conditionalFormatting>
  <conditionalFormatting sqref="T44">
    <cfRule type="expression" dxfId="969" priority="440">
      <formula>E42=TRUE</formula>
    </cfRule>
  </conditionalFormatting>
  <conditionalFormatting sqref="T50">
    <cfRule type="expression" dxfId="968" priority="434">
      <formula>E51=TRUE</formula>
    </cfRule>
  </conditionalFormatting>
  <conditionalFormatting sqref="T52">
    <cfRule type="expression" dxfId="967" priority="431">
      <formula>E51=TRUE</formula>
    </cfRule>
  </conditionalFormatting>
  <conditionalFormatting sqref="T53">
    <cfRule type="expression" dxfId="966" priority="430">
      <formula>E51=TRUE</formula>
    </cfRule>
  </conditionalFormatting>
  <conditionalFormatting sqref="T59">
    <cfRule type="expression" dxfId="965" priority="424">
      <formula>E60=TRUE</formula>
    </cfRule>
  </conditionalFormatting>
  <conditionalFormatting sqref="T61">
    <cfRule type="expression" dxfId="964" priority="421">
      <formula>E60=TRUE</formula>
    </cfRule>
  </conditionalFormatting>
  <conditionalFormatting sqref="T62">
    <cfRule type="expression" dxfId="963" priority="420">
      <formula>E60=TRUE</formula>
    </cfRule>
  </conditionalFormatting>
  <conditionalFormatting sqref="T68">
    <cfRule type="expression" dxfId="962" priority="414">
      <formula>E69=TRUE</formula>
    </cfRule>
  </conditionalFormatting>
  <conditionalFormatting sqref="T70">
    <cfRule type="expression" dxfId="961" priority="411">
      <formula>E69=TRUE</formula>
    </cfRule>
  </conditionalFormatting>
  <conditionalFormatting sqref="T71">
    <cfRule type="expression" dxfId="960" priority="410">
      <formula>E69=TRUE</formula>
    </cfRule>
  </conditionalFormatting>
  <conditionalFormatting sqref="T77">
    <cfRule type="expression" dxfId="959" priority="404">
      <formula>E78=TRUE</formula>
    </cfRule>
  </conditionalFormatting>
  <conditionalFormatting sqref="T79">
    <cfRule type="expression" dxfId="958" priority="401">
      <formula>E78=TRUE</formula>
    </cfRule>
  </conditionalFormatting>
  <conditionalFormatting sqref="T80">
    <cfRule type="expression" dxfId="957" priority="400">
      <formula>E78=TRUE</formula>
    </cfRule>
  </conditionalFormatting>
  <conditionalFormatting sqref="T86">
    <cfRule type="expression" dxfId="956" priority="394">
      <formula>E87=TRUE</formula>
    </cfRule>
  </conditionalFormatting>
  <conditionalFormatting sqref="T88">
    <cfRule type="expression" dxfId="955" priority="391">
      <formula>E87=TRUE</formula>
    </cfRule>
  </conditionalFormatting>
  <conditionalFormatting sqref="T89">
    <cfRule type="expression" dxfId="954" priority="390">
      <formula>E87=TRUE</formula>
    </cfRule>
  </conditionalFormatting>
  <conditionalFormatting sqref="T95">
    <cfRule type="expression" dxfId="953" priority="384">
      <formula>E96=TRUE</formula>
    </cfRule>
  </conditionalFormatting>
  <conditionalFormatting sqref="T97">
    <cfRule type="expression" dxfId="952" priority="381">
      <formula>E96=TRUE</formula>
    </cfRule>
  </conditionalFormatting>
  <conditionalFormatting sqref="T98">
    <cfRule type="expression" dxfId="951" priority="380">
      <formula>E96=TRUE</formula>
    </cfRule>
  </conditionalFormatting>
  <conditionalFormatting sqref="T104">
    <cfRule type="expression" dxfId="950" priority="374">
      <formula>E105=TRUE</formula>
    </cfRule>
  </conditionalFormatting>
  <conditionalFormatting sqref="T106">
    <cfRule type="expression" dxfId="949" priority="371">
      <formula>E105=TRUE</formula>
    </cfRule>
  </conditionalFormatting>
  <conditionalFormatting sqref="T107">
    <cfRule type="expression" dxfId="948" priority="370">
      <formula>E105=TRUE</formula>
    </cfRule>
  </conditionalFormatting>
  <conditionalFormatting sqref="T113">
    <cfRule type="expression" dxfId="947" priority="364">
      <formula>E114=TRUE</formula>
    </cfRule>
  </conditionalFormatting>
  <conditionalFormatting sqref="T115">
    <cfRule type="expression" dxfId="946" priority="361">
      <formula>E114=TRUE</formula>
    </cfRule>
  </conditionalFormatting>
  <conditionalFormatting sqref="T116">
    <cfRule type="expression" dxfId="945" priority="360">
      <formula>E114=TRUE</formula>
    </cfRule>
  </conditionalFormatting>
  <conditionalFormatting sqref="T122">
    <cfRule type="expression" dxfId="944" priority="354">
      <formula>E123=TRUE</formula>
    </cfRule>
  </conditionalFormatting>
  <conditionalFormatting sqref="T124">
    <cfRule type="expression" dxfId="943" priority="351">
      <formula>E123=TRUE</formula>
    </cfRule>
  </conditionalFormatting>
  <conditionalFormatting sqref="T125">
    <cfRule type="expression" dxfId="942" priority="350">
      <formula>E123=TRUE</formula>
    </cfRule>
  </conditionalFormatting>
  <conditionalFormatting sqref="T131">
    <cfRule type="expression" dxfId="941" priority="344">
      <formula>E132=TRUE</formula>
    </cfRule>
  </conditionalFormatting>
  <conditionalFormatting sqref="T133">
    <cfRule type="expression" dxfId="940" priority="341">
      <formula>E132=TRUE</formula>
    </cfRule>
  </conditionalFormatting>
  <conditionalFormatting sqref="T134">
    <cfRule type="expression" dxfId="939" priority="340">
      <formula>E132=TRUE</formula>
    </cfRule>
  </conditionalFormatting>
  <conditionalFormatting sqref="T140">
    <cfRule type="expression" dxfId="938" priority="334">
      <formula>E141=TRUE</formula>
    </cfRule>
  </conditionalFormatting>
  <conditionalFormatting sqref="T142">
    <cfRule type="expression" dxfId="937" priority="331">
      <formula>E141=TRUE</formula>
    </cfRule>
  </conditionalFormatting>
  <conditionalFormatting sqref="T143">
    <cfRule type="expression" dxfId="936" priority="330">
      <formula>E141=TRUE</formula>
    </cfRule>
  </conditionalFormatting>
  <conditionalFormatting sqref="T149">
    <cfRule type="expression" dxfId="935" priority="324">
      <formula>E150=TRUE</formula>
    </cfRule>
  </conditionalFormatting>
  <conditionalFormatting sqref="T151">
    <cfRule type="expression" dxfId="934" priority="321">
      <formula>E150=TRUE</formula>
    </cfRule>
  </conditionalFormatting>
  <conditionalFormatting sqref="T152">
    <cfRule type="expression" dxfId="933" priority="320">
      <formula>E150=TRUE</formula>
    </cfRule>
  </conditionalFormatting>
  <conditionalFormatting sqref="T158">
    <cfRule type="expression" dxfId="932" priority="314">
      <formula>E159=TRUE</formula>
    </cfRule>
  </conditionalFormatting>
  <conditionalFormatting sqref="T160">
    <cfRule type="expression" dxfId="931" priority="311">
      <formula>E159=TRUE</formula>
    </cfRule>
  </conditionalFormatting>
  <conditionalFormatting sqref="T161">
    <cfRule type="expression" dxfId="930" priority="310">
      <formula>E159=TRUE</formula>
    </cfRule>
  </conditionalFormatting>
  <conditionalFormatting sqref="T167">
    <cfRule type="expression" dxfId="929" priority="304">
      <formula>E168=TRUE</formula>
    </cfRule>
  </conditionalFormatting>
  <conditionalFormatting sqref="T169">
    <cfRule type="expression" dxfId="928" priority="301">
      <formula>E168=TRUE</formula>
    </cfRule>
  </conditionalFormatting>
  <conditionalFormatting sqref="T170">
    <cfRule type="expression" dxfId="927" priority="300">
      <formula>E168=TRUE</formula>
    </cfRule>
  </conditionalFormatting>
  <conditionalFormatting sqref="T176">
    <cfRule type="expression" dxfId="926" priority="294">
      <formula>E177=TRUE</formula>
    </cfRule>
  </conditionalFormatting>
  <conditionalFormatting sqref="T178">
    <cfRule type="expression" dxfId="925" priority="291">
      <formula>E177=TRUE</formula>
    </cfRule>
  </conditionalFormatting>
  <conditionalFormatting sqref="T179">
    <cfRule type="expression" dxfId="924" priority="290">
      <formula>E177=TRUE</formula>
    </cfRule>
  </conditionalFormatting>
  <conditionalFormatting sqref="T185">
    <cfRule type="expression" dxfId="923" priority="284">
      <formula>E186=TRUE</formula>
    </cfRule>
  </conditionalFormatting>
  <conditionalFormatting sqref="T187">
    <cfRule type="expression" dxfId="922" priority="281">
      <formula>E186=TRUE</formula>
    </cfRule>
  </conditionalFormatting>
  <conditionalFormatting sqref="T188">
    <cfRule type="expression" dxfId="921"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5" stopIfTrue="1" id="{1429774D-F706-4B99-9BFA-4368651C1C5F}">
            <xm:f>$C40=INputs!$P$4</xm:f>
            <x14:dxf>
              <font>
                <color theme="2" tint="-0.24994659260841701"/>
              </font>
            </x14:dxf>
          </x14:cfRule>
          <x14:cfRule type="expression" priority="156" stopIfTrue="1" id="{84BBD787-34DA-4B32-B7FC-39B62A2B6030}">
            <xm:f>$C40=INputs!$P$3</xm:f>
            <x14:dxf>
              <font>
                <color theme="2" tint="-0.24994659260841701"/>
              </font>
            </x14:dxf>
          </x14:cfRule>
          <xm:sqref>C40</xm:sqref>
        </x14:conditionalFormatting>
        <x14:conditionalFormatting xmlns:xm="http://schemas.microsoft.com/office/excel/2006/main">
          <x14:cfRule type="expression" priority="152" stopIfTrue="1" id="{AC2CCF6E-FB3B-4B3E-AC9A-5B668673BC59}">
            <xm:f>$C49=INputs!$P$4</xm:f>
            <x14:dxf>
              <font>
                <color theme="2" tint="-0.24994659260841701"/>
              </font>
            </x14:dxf>
          </x14:cfRule>
          <x14:cfRule type="expression" priority="153" stopIfTrue="1" id="{377383A5-D218-4C61-A168-62DC21CBAC70}">
            <xm:f>$C49=INputs!$P$3</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6" stopIfTrue="1" id="{CACECF30-87A5-45B7-83C3-99C3FFA96030}">
            <xm:f>$C67=INputs!$P$4</xm:f>
            <x14:dxf>
              <font>
                <color theme="2" tint="-0.24994659260841701"/>
              </font>
            </x14:dxf>
          </x14:cfRule>
          <x14:cfRule type="expression" priority="147" stopIfTrue="1" id="{74D50A7F-69EC-48D6-B564-85F725032AA2}">
            <xm:f>$C67=INputs!$P$3</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8" stopIfTrue="1" id="{3DCCA99E-C7BA-4FCB-AECB-EFEFECBAEBE4}">
            <xm:f>$C85=INputs!$P$4</xm:f>
            <x14:dxf>
              <font>
                <color theme="2" tint="-0.24994659260841701"/>
              </font>
            </x14:dxf>
          </x14:cfRule>
          <x14:cfRule type="expression" priority="129" stopIfTrue="1" id="{C5CA2F6F-8120-4BDE-AFB9-B35715B30D37}">
            <xm:f>$C85=INputs!$P$3</xm:f>
            <x14:dxf>
              <font>
                <color theme="2" tint="-0.24994659260841701"/>
              </font>
            </x14:dxf>
          </x14:cfRule>
          <xm:sqref>C85</xm:sqref>
        </x14:conditionalFormatting>
        <x14:conditionalFormatting xmlns:xm="http://schemas.microsoft.com/office/excel/2006/main">
          <x14:cfRule type="expression" priority="125" stopIfTrue="1" id="{EAC83502-74D4-4EE0-AD48-72BD7D3C7052}">
            <xm:f>$C94=INputs!$P$4</xm:f>
            <x14:dxf>
              <font>
                <color theme="2" tint="-0.24994659260841701"/>
              </font>
            </x14:dxf>
          </x14:cfRule>
          <x14:cfRule type="expression" priority="126" stopIfTrue="1" id="{7BC0502E-15A3-4F6D-8DE9-C894238D447F}">
            <xm:f>$C94=INputs!$P$3</xm:f>
            <x14:dxf>
              <font>
                <color theme="2" tint="-0.24994659260841701"/>
              </font>
            </x14:dxf>
          </x14:cfRule>
          <xm:sqref>C94</xm:sqref>
        </x14:conditionalFormatting>
        <x14:conditionalFormatting xmlns:xm="http://schemas.microsoft.com/office/excel/2006/main">
          <x14:cfRule type="expression" priority="122" stopIfTrue="1" id="{38176B81-A95A-403E-90A8-F6F0F66150F2}">
            <xm:f>$C103=INputs!$P$4</xm:f>
            <x14:dxf>
              <font>
                <color theme="2" tint="-0.24994659260841701"/>
              </font>
            </x14:dxf>
          </x14:cfRule>
          <x14:cfRule type="expression" priority="123" stopIfTrue="1" id="{99F49E8F-6965-491D-BB86-823797E5756B}">
            <xm:f>$C103=INputs!$P$3</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19" stopIfTrue="1" id="{2293AAAA-816A-49B4-9DFD-9EA6A9B6B965}">
            <xm:f>$C112=INputs!$P$4</xm:f>
            <x14:dxf>
              <font>
                <color theme="2" tint="-0.24994659260841701"/>
              </font>
            </x14:dxf>
          </x14:cfRule>
          <x14:cfRule type="expression" priority="120" stopIfTrue="1" id="{3946C201-3A01-43FD-AAE5-BE95A4929E1F}">
            <xm:f>$C112=INputs!$P$3</xm:f>
            <x14:dxf>
              <font>
                <color theme="2" tint="-0.24994659260841701"/>
              </font>
            </x14:dxf>
          </x14:cfRule>
          <xm:sqref>C112</xm:sqref>
        </x14:conditionalFormatting>
        <x14:conditionalFormatting xmlns:xm="http://schemas.microsoft.com/office/excel/2006/main">
          <x14:cfRule type="expression" priority="116" stopIfTrue="1" id="{ACA7E554-DC29-4F35-B514-3A6A3C70D48A}">
            <xm:f>$C121=INputs!$P$4</xm:f>
            <x14:dxf>
              <font>
                <color theme="2" tint="-0.24994659260841701"/>
              </font>
            </x14:dxf>
          </x14:cfRule>
          <x14:cfRule type="expression" priority="117" stopIfTrue="1" id="{6F7C9BF9-DB1B-4801-AC7B-689C91EE9D73}">
            <xm:f>$C121=INputs!$P$3</xm:f>
            <x14:dxf>
              <font>
                <color theme="2" tint="-0.24994659260841701"/>
              </font>
            </x14:dxf>
          </x14:cfRule>
          <xm:sqref>C121</xm:sqref>
        </x14:conditionalFormatting>
        <x14:conditionalFormatting xmlns:xm="http://schemas.microsoft.com/office/excel/2006/main">
          <x14:cfRule type="expression" priority="113" stopIfTrue="1" id="{17D1D1BB-85A2-49BD-B56E-F4E37333D667}">
            <xm:f>$C130=INputs!$P$4</xm:f>
            <x14:dxf>
              <font>
                <color theme="2" tint="-0.24994659260841701"/>
              </font>
            </x14:dxf>
          </x14:cfRule>
          <x14:cfRule type="expression" priority="114" stopIfTrue="1" id="{F6A63761-8A1E-4163-891B-870BA7563AE9}">
            <xm:f>$C130=INputs!$P$3</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x14:dxf>
          </x14:cfRule>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m:sqref>D58:T63</xm:sqref>
        </x14:conditionalFormatting>
        <x14:conditionalFormatting xmlns:xm="http://schemas.microsoft.com/office/excel/2006/main">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bottomRight" activeCell="D3" sqref="D3"/>
      <selection pane="bottomLeft" activeCell="A5" sqref="A5"/>
      <selection pane="topRight" activeCell="D1" sqref="D1"/>
    </sheetView>
  </sheetViews>
  <sheetFormatPr defaultRowHeight="18.600000000000001" outlineLevelRow="1"/>
  <cols>
    <col min="1" max="1" width="3.42578125" style="263" customWidth="1"/>
    <col min="2" max="2" width="22" customWidth="1"/>
    <col min="3" max="3" width="34.140625" hidden="1" customWidth="1"/>
    <col min="4" max="4" width="30" style="3" customWidth="1"/>
    <col min="5" max="5" width="6.5703125" customWidth="1"/>
    <col min="6" max="6" width="23.85546875" customWidth="1"/>
    <col min="7" max="7" width="34.140625" style="3" customWidth="1"/>
    <col min="8" max="8" width="17.140625" hidden="1" customWidth="1"/>
    <col min="9" max="9" width="19.5703125" customWidth="1"/>
    <col min="10" max="10" width="20.7109375" style="114"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43.42578125" customWidth="1"/>
    <col min="17" max="17" width="7.5703125" style="2" customWidth="1"/>
    <col min="18" max="18" width="41.28515625" style="198" customWidth="1"/>
    <col min="19" max="19" width="7.5703125" style="2" customWidth="1"/>
    <col min="20" max="20" width="29.85546875" customWidth="1"/>
    <col min="21" max="21" width="7" customWidth="1"/>
    <col min="22" max="22" width="30.7109375" customWidth="1"/>
  </cols>
  <sheetData>
    <row r="1" spans="1:27" ht="5.0999999999999996" customHeight="1" thickBot="1">
      <c r="A1"/>
      <c r="J1" s="509"/>
      <c r="R1" s="534"/>
    </row>
    <row r="2" spans="1:27" s="264" customFormat="1" ht="24" thickBot="1">
      <c r="A2"/>
      <c r="B2" s="756" t="s">
        <v>91</v>
      </c>
      <c r="C2" s="757"/>
      <c r="D2" s="757"/>
      <c r="E2" s="757"/>
      <c r="F2" s="757"/>
      <c r="G2" s="757"/>
      <c r="H2" s="757"/>
      <c r="I2" s="758"/>
      <c r="J2" s="765" t="s">
        <v>278</v>
      </c>
      <c r="K2" s="765"/>
      <c r="L2" s="765"/>
      <c r="M2" s="765"/>
      <c r="N2" s="765"/>
      <c r="O2" s="765"/>
      <c r="P2" s="512" t="s">
        <v>97</v>
      </c>
      <c r="Q2" s="756" t="s">
        <v>279</v>
      </c>
      <c r="R2" s="757"/>
      <c r="S2" s="757"/>
      <c r="T2" s="757"/>
      <c r="U2" s="757"/>
      <c r="V2" s="758"/>
      <c r="W2"/>
      <c r="X2"/>
      <c r="Y2"/>
      <c r="Z2"/>
      <c r="AA2"/>
    </row>
    <row r="3" spans="1:27" s="3" customFormat="1" ht="43.5">
      <c r="B3" s="312" t="s">
        <v>118</v>
      </c>
      <c r="C3" s="313" t="s">
        <v>119</v>
      </c>
      <c r="D3" s="313" t="s">
        <v>120</v>
      </c>
      <c r="E3" s="759" t="s">
        <v>121</v>
      </c>
      <c r="F3" s="760"/>
      <c r="G3" s="313" t="s">
        <v>122</v>
      </c>
      <c r="H3" s="313" t="s">
        <v>123</v>
      </c>
      <c r="I3" s="513" t="s">
        <v>124</v>
      </c>
      <c r="J3" s="766"/>
      <c r="K3" s="767"/>
      <c r="L3" s="767"/>
      <c r="M3" s="767"/>
      <c r="N3" s="767"/>
      <c r="O3" s="768"/>
      <c r="P3" s="314" t="s">
        <v>280</v>
      </c>
      <c r="Q3" s="764" t="s">
        <v>251</v>
      </c>
      <c r="R3" s="760"/>
      <c r="S3" s="761" t="s">
        <v>252</v>
      </c>
      <c r="T3" s="763"/>
      <c r="U3" s="761" t="s">
        <v>255</v>
      </c>
      <c r="V3" s="762"/>
      <c r="Z3"/>
      <c r="AA3"/>
    </row>
    <row r="4" spans="1:27" s="3" customFormat="1" hidden="1" outlineLevel="1">
      <c r="A4" s="778" t="s">
        <v>125</v>
      </c>
      <c r="B4" s="786" t="s">
        <v>281</v>
      </c>
      <c r="C4" s="279"/>
      <c r="D4" s="799" t="s">
        <v>282</v>
      </c>
      <c r="E4" s="785" t="s">
        <v>281</v>
      </c>
      <c r="F4" s="786"/>
      <c r="G4" s="799" t="s">
        <v>283</v>
      </c>
      <c r="H4" s="279"/>
      <c r="I4" s="799" t="s">
        <v>281</v>
      </c>
      <c r="J4" s="785" t="s">
        <v>284</v>
      </c>
      <c r="K4" s="633"/>
      <c r="L4" s="633"/>
      <c r="M4" s="633"/>
      <c r="N4" s="633"/>
      <c r="O4" s="786"/>
      <c r="P4" s="799" t="s">
        <v>285</v>
      </c>
      <c r="Q4" s="785" t="s">
        <v>286</v>
      </c>
      <c r="R4" s="786"/>
      <c r="S4" s="785" t="s">
        <v>287</v>
      </c>
      <c r="T4" s="786"/>
      <c r="U4" s="785" t="s">
        <v>288</v>
      </c>
      <c r="V4" s="789"/>
      <c r="Z4"/>
      <c r="AA4"/>
    </row>
    <row r="5" spans="1:27" s="3" customFormat="1" hidden="1" outlineLevel="1">
      <c r="A5" s="780"/>
      <c r="B5" s="788"/>
      <c r="C5" s="274"/>
      <c r="D5" s="800"/>
      <c r="E5" s="787"/>
      <c r="F5" s="788"/>
      <c r="G5" s="800"/>
      <c r="H5" s="274"/>
      <c r="I5" s="800"/>
      <c r="J5" s="787"/>
      <c r="K5" s="801"/>
      <c r="L5" s="801"/>
      <c r="M5" s="801"/>
      <c r="N5" s="801"/>
      <c r="O5" s="788"/>
      <c r="P5" s="800"/>
      <c r="Q5" s="787"/>
      <c r="R5" s="788"/>
      <c r="S5" s="787"/>
      <c r="T5" s="788"/>
      <c r="U5" s="787"/>
      <c r="V5" s="790"/>
      <c r="Z5"/>
      <c r="AA5"/>
    </row>
    <row r="6" spans="1:27" s="3" customFormat="1" ht="21.6" hidden="1" customHeight="1" outlineLevel="1">
      <c r="A6" s="780"/>
      <c r="B6" s="788"/>
      <c r="C6" s="278" t="s">
        <v>289</v>
      </c>
      <c r="D6" s="800"/>
      <c r="E6" s="787"/>
      <c r="F6" s="788"/>
      <c r="G6" s="800"/>
      <c r="H6" s="258"/>
      <c r="I6" s="800"/>
      <c r="J6" s="787"/>
      <c r="K6" s="801"/>
      <c r="L6" s="801"/>
      <c r="M6" s="801"/>
      <c r="N6" s="801"/>
      <c r="O6" s="788"/>
      <c r="P6" s="800"/>
      <c r="Q6" s="787"/>
      <c r="R6" s="788"/>
      <c r="S6" s="787"/>
      <c r="T6" s="788"/>
      <c r="U6" s="787"/>
      <c r="V6" s="790"/>
      <c r="Z6"/>
      <c r="AA6"/>
    </row>
    <row r="7" spans="1:27" s="3" customFormat="1" ht="377.1" hidden="1" customHeight="1" outlineLevel="1" thickBot="1">
      <c r="A7" s="780"/>
      <c r="B7" s="788"/>
      <c r="C7" s="277"/>
      <c r="D7" s="800"/>
      <c r="E7" s="787"/>
      <c r="F7" s="788"/>
      <c r="G7" s="800"/>
      <c r="H7" s="258"/>
      <c r="I7" s="800"/>
      <c r="J7" s="787"/>
      <c r="K7" s="801"/>
      <c r="L7" s="801"/>
      <c r="M7" s="801"/>
      <c r="N7" s="801"/>
      <c r="O7" s="788"/>
      <c r="P7" s="800"/>
      <c r="Q7" s="787"/>
      <c r="R7" s="788"/>
      <c r="S7" s="787"/>
      <c r="T7" s="788"/>
      <c r="U7" s="787"/>
      <c r="V7" s="790"/>
      <c r="Z7"/>
      <c r="AA7"/>
    </row>
    <row r="8" spans="1:27" s="3" customFormat="1" ht="21" hidden="1" customHeight="1" outlineLevel="1">
      <c r="A8" s="778" t="s">
        <v>133</v>
      </c>
      <c r="B8" s="287"/>
      <c r="C8" s="288"/>
      <c r="D8" s="288"/>
      <c r="E8" s="781"/>
      <c r="F8" s="782"/>
      <c r="G8" s="289"/>
      <c r="H8" s="290"/>
      <c r="I8" s="289"/>
      <c r="J8" s="289"/>
      <c r="K8" s="289"/>
      <c r="L8" s="289"/>
      <c r="M8" s="291"/>
      <c r="N8" s="291"/>
      <c r="O8" s="292"/>
      <c r="P8" s="292"/>
      <c r="Q8" s="791"/>
      <c r="R8" s="792"/>
      <c r="S8" s="791"/>
      <c r="T8" s="795"/>
      <c r="U8" s="791"/>
      <c r="V8" s="797"/>
      <c r="Z8"/>
      <c r="AA8"/>
    </row>
    <row r="9" spans="1:27" s="3" customFormat="1" ht="21.6" hidden="1" customHeight="1" outlineLevel="1" thickBot="1">
      <c r="A9" s="779"/>
      <c r="B9" s="293"/>
      <c r="C9" s="294"/>
      <c r="D9" s="294"/>
      <c r="E9" s="783"/>
      <c r="F9" s="784"/>
      <c r="G9" s="295"/>
      <c r="H9" s="296"/>
      <c r="I9" s="295"/>
      <c r="J9" s="295"/>
      <c r="K9" s="295"/>
      <c r="L9" s="295"/>
      <c r="M9" s="297"/>
      <c r="N9" s="297"/>
      <c r="O9" s="298"/>
      <c r="P9" s="298"/>
      <c r="Q9" s="793"/>
      <c r="R9" s="794"/>
      <c r="S9" s="793"/>
      <c r="T9" s="796"/>
      <c r="U9" s="793"/>
      <c r="V9" s="798"/>
      <c r="Z9"/>
      <c r="AA9"/>
    </row>
    <row r="10" spans="1:27" s="3" customFormat="1" ht="24.95" customHeight="1" collapsed="1" thickBot="1">
      <c r="B10" s="280"/>
      <c r="C10" s="281"/>
      <c r="D10" s="282"/>
      <c r="E10" s="283"/>
      <c r="F10" s="275"/>
      <c r="G10" s="284"/>
      <c r="H10" s="281"/>
      <c r="I10" s="283"/>
      <c r="J10" s="285"/>
      <c r="K10" s="275"/>
      <c r="L10" s="275"/>
      <c r="M10" s="275"/>
      <c r="N10" s="275"/>
      <c r="O10" s="283"/>
      <c r="P10" s="285"/>
      <c r="Q10" s="285"/>
      <c r="R10" s="286"/>
      <c r="S10" s="275"/>
      <c r="T10" s="275"/>
      <c r="U10" s="275"/>
      <c r="V10" s="276"/>
      <c r="Z10"/>
      <c r="AA10"/>
    </row>
    <row r="11" spans="1:27" ht="14.45" customHeight="1">
      <c r="A11" s="737">
        <v>1</v>
      </c>
      <c r="B11" s="749" t="str">
        <f>'Sensitivity Labels'!C11</f>
        <v>Label</v>
      </c>
      <c r="C11" s="751" t="str">
        <f>'Sensitivity Labels'!D11</f>
        <v>Public</v>
      </c>
      <c r="D11" s="743" t="str">
        <f>'Sensitivity Labels'!E11</f>
        <v>Public</v>
      </c>
      <c r="E11" s="299" t="b">
        <f>'Sensitivity Labels'!F11</f>
        <v>1</v>
      </c>
      <c r="F11" s="300" t="str">
        <f>'Sensitivity Labels'!G11</f>
        <v>Files &amp; Other Data assets</v>
      </c>
      <c r="G11" s="769" t="str">
        <f>'Sensitivity Labels'!I11</f>
        <v>Business data that is prepared and approved for public consumption.</v>
      </c>
      <c r="H11" s="749">
        <f>'Sensitivity Labels'!J11</f>
        <v>0</v>
      </c>
      <c r="I11" s="725" t="str">
        <f>'Sensitivity Labels'!K11</f>
        <v>Blue</v>
      </c>
      <c r="J11" s="301" t="str">
        <f>IF(OR(M11=TRUE,M12=TRUE),"Encryption",(IF(K11=TRUE,"Remove Encryption","No Encryption")))</f>
        <v>No Encryption</v>
      </c>
      <c r="K11" s="302" t="b">
        <f>'Emails, Files, &amp; Other Data'!H12</f>
        <v>0</v>
      </c>
      <c r="L11" s="303" t="str">
        <f>'Emails, Files, &amp; Other Data'!I12</f>
        <v>Remove access control settings if already applied to items</v>
      </c>
      <c r="M11" s="302" t="b">
        <f>'Emails, Files, &amp; Other Data'!J12</f>
        <v>0</v>
      </c>
      <c r="N11" s="303" t="str">
        <f>'Emails, Files, &amp; Other Data'!K12</f>
        <v>Assign Permissions now</v>
      </c>
      <c r="O11" s="304" t="s">
        <v>163</v>
      </c>
      <c r="P11" s="697" t="str">
        <f>IF(E13=TRUE,"Yes","No")</f>
        <v>No</v>
      </c>
      <c r="Q11" s="721" t="str">
        <f>IF(OR('Groups &amp; Sites'!H13=INputs!AN$3,'Groups &amp; Sites'!H13=INputs!AN$4),"Yes","No")</f>
        <v>No</v>
      </c>
      <c r="R11" s="723" t="str">
        <f>'Groups &amp; Sites'!F13</f>
        <v>Privacy and external user access</v>
      </c>
      <c r="S11" s="725" t="str">
        <f>IF('Groups &amp; Sites'!K13=TRUE,"Yes","No")</f>
        <v>No</v>
      </c>
      <c r="T11" s="723" t="str">
        <f>'Groups &amp; Sites'!L13</f>
        <v>Content can be shared with</v>
      </c>
      <c r="U11" s="725" t="str">
        <f>IF('Groups &amp; Sites'!S14=TRUE,"Yes","No")</f>
        <v>No</v>
      </c>
      <c r="V11" s="735" t="str">
        <f>'Groups &amp; Sites'!T14</f>
        <v>Allow users to discover private teams that have this label applied.</v>
      </c>
    </row>
    <row r="12" spans="1:27" ht="14.45">
      <c r="A12" s="738"/>
      <c r="B12" s="749"/>
      <c r="C12" s="751"/>
      <c r="D12" s="744"/>
      <c r="E12" s="299" t="b">
        <f>'Sensitivity Labels'!F13</f>
        <v>1</v>
      </c>
      <c r="F12" s="300" t="str">
        <f>'Sensitivity Labels'!G13</f>
        <v>Emails</v>
      </c>
      <c r="G12" s="769"/>
      <c r="H12" s="749"/>
      <c r="I12" s="725"/>
      <c r="J12" s="305" t="str">
        <f>IF(OR('Emails, Files, &amp; Other Data'!X12=TRUE,'Emails, Files, &amp; Other Data'!X13=TRUE,'Emails, Files, &amp; Other Data'!X14=TRUE),"Yes","No")</f>
        <v>No</v>
      </c>
      <c r="K12" s="306"/>
      <c r="L12" s="306"/>
      <c r="M12" s="307" t="b">
        <f>'Emails, Files, &amp; Other Data'!J13</f>
        <v>0</v>
      </c>
      <c r="N12" s="306" t="str">
        <f>'Emails, Files, &amp; Other Data'!K13</f>
        <v>Let users assign permissions when they apply the label</v>
      </c>
      <c r="O12" s="308" t="s">
        <v>290</v>
      </c>
      <c r="P12" s="697"/>
      <c r="Q12" s="722"/>
      <c r="R12" s="724"/>
      <c r="S12" s="726"/>
      <c r="T12" s="724"/>
      <c r="U12" s="726"/>
      <c r="V12" s="736"/>
    </row>
    <row r="13" spans="1:27" ht="14.45" customHeight="1">
      <c r="A13" s="738"/>
      <c r="B13" s="749"/>
      <c r="C13" s="751"/>
      <c r="D13" s="744"/>
      <c r="E13" s="299" t="b">
        <f>'Sensitivity Labels'!F15</f>
        <v>0</v>
      </c>
      <c r="F13" s="300" t="str">
        <f>'Sensitivity Labels'!G15</f>
        <v>Meetings</v>
      </c>
      <c r="G13" s="769"/>
      <c r="H13" s="749"/>
      <c r="I13" s="725"/>
      <c r="J13" s="699" t="str">
        <f>IF('Emails, Files, &amp; Other Data'!AB12=TRUE,"Yes","No")</f>
        <v>No</v>
      </c>
      <c r="K13" s="306"/>
      <c r="L13" s="306"/>
      <c r="M13" s="306"/>
      <c r="N13" s="306"/>
      <c r="O13" s="705" t="s">
        <v>173</v>
      </c>
      <c r="P13" s="697"/>
      <c r="Q13" s="727" t="str">
        <f>IF('Groups &amp; Sites'!H15=TRUE,"Yes","No")</f>
        <v>No</v>
      </c>
      <c r="R13" s="728" t="str">
        <f>'Groups &amp; Sites'!I15</f>
        <v>Let Microsoft 365 Group owners add people outside your organization to the group as guests.</v>
      </c>
      <c r="S13" s="725" t="str">
        <f>IF('Groups &amp; Sites'!K14=TRUE,"Yes","No")</f>
        <v>No</v>
      </c>
      <c r="T13" s="729" t="str">
        <f>'Groups &amp; Sites'!L14</f>
        <v>Use Microsoft Entra Conditional Access to protect labeled SharePoint sites</v>
      </c>
      <c r="U13" s="730" t="str">
        <f>IF(OR('Groups &amp; Sites'!S16=TRUE,'Groups &amp; Sites'!S17=TRUE,'Groups &amp; Sites'!S18=TRUE),"Yes","No")</f>
        <v>No</v>
      </c>
      <c r="V13" s="731" t="str">
        <f>'Groups &amp; Sites'!S15</f>
        <v>Teams shared channels</v>
      </c>
    </row>
    <row r="14" spans="1:27" ht="15" thickBot="1">
      <c r="A14" s="739"/>
      <c r="B14" s="750"/>
      <c r="C14" s="752"/>
      <c r="D14" s="745"/>
      <c r="E14" s="309" t="b">
        <f>'Sensitivity Labels'!F17</f>
        <v>0</v>
      </c>
      <c r="F14" s="310" t="str">
        <f>'Sensitivity Labels'!G17</f>
        <v>Groups &amp; Sites</v>
      </c>
      <c r="G14" s="770"/>
      <c r="H14" s="750"/>
      <c r="I14" s="771"/>
      <c r="J14" s="700"/>
      <c r="K14" s="311"/>
      <c r="L14" s="311"/>
      <c r="M14" s="311"/>
      <c r="N14" s="311"/>
      <c r="O14" s="706"/>
      <c r="P14" s="698"/>
      <c r="Q14" s="721"/>
      <c r="R14" s="729"/>
      <c r="S14" s="725"/>
      <c r="T14" s="729"/>
      <c r="U14" s="725"/>
      <c r="V14" s="732"/>
    </row>
    <row r="15" spans="1:27" ht="14.45">
      <c r="A15" s="740">
        <f>A11+1</f>
        <v>2</v>
      </c>
      <c r="B15" s="747" t="str">
        <f>'Sensitivity Labels'!C19</f>
        <v>Label</v>
      </c>
      <c r="C15" s="754" t="str">
        <f>'Sensitivity Labels'!D19</f>
        <v>General</v>
      </c>
      <c r="D15" s="548" t="str">
        <f>'Sensitivity Labels'!E19</f>
        <v>General</v>
      </c>
      <c r="E15" s="52" t="b">
        <f>'Sensitivity Labels'!F19</f>
        <v>1</v>
      </c>
      <c r="F15" s="54" t="str">
        <f>'Sensitivity Labels'!G19</f>
        <v>Files &amp; Other Data assets</v>
      </c>
      <c r="G15" s="772" t="str">
        <f>'Sensitivity Labels'!I19</f>
        <v>Business data that isn't intended for public consumption. However, this can be shared with external partners, as required.</v>
      </c>
      <c r="H15" s="746">
        <f>'Sensitivity Labels'!J19</f>
        <v>0</v>
      </c>
      <c r="I15" s="775" t="str">
        <f>'Sensitivity Labels'!K19</f>
        <v>Green</v>
      </c>
      <c r="J15" s="270" t="str">
        <f>IF(OR(M15=TRUE,M16=TRUE),"Encryption",(IF(K15=TRUE,"Remove Encryption","No Encryption")))</f>
        <v>No Encryption</v>
      </c>
      <c r="K15" s="265" t="b">
        <f>'Emails, Files, &amp; Other Data'!H24</f>
        <v>0</v>
      </c>
      <c r="L15" s="266" t="str">
        <f>L11</f>
        <v>Remove access control settings if already applied to items</v>
      </c>
      <c r="M15" s="265" t="b">
        <f>'Emails, Files, &amp; Other Data'!J24</f>
        <v>0</v>
      </c>
      <c r="N15" s="266" t="str">
        <f>N11</f>
        <v>Assign Permissions now</v>
      </c>
      <c r="O15" s="271" t="str">
        <f>O$11</f>
        <v>Access Control</v>
      </c>
      <c r="P15" s="694" t="str">
        <f>IF(E17=TRUE,"Yes","No")</f>
        <v>Yes</v>
      </c>
      <c r="Q15" s="707" t="str">
        <f>IF(OR('Groups &amp; Sites'!H22=INputs!AN$3,'Groups &amp; Sites'!H22=INputs!AN$4),"Yes","No")</f>
        <v>No</v>
      </c>
      <c r="R15" s="709" t="str">
        <f>R$11</f>
        <v>Privacy and external user access</v>
      </c>
      <c r="S15" s="711" t="str">
        <f>IF('Groups &amp; Sites'!K22=TRUE,"Yes","No")</f>
        <v>No</v>
      </c>
      <c r="T15" s="709" t="str">
        <f>T$11</f>
        <v>Content can be shared with</v>
      </c>
      <c r="U15" s="711" t="str">
        <f>IF('Groups &amp; Sites'!S23=TRUE,"Yes","No")</f>
        <v>No</v>
      </c>
      <c r="V15" s="733" t="str">
        <f>V$11</f>
        <v>Allow users to discover private teams that have this label applied.</v>
      </c>
    </row>
    <row r="16" spans="1:27" ht="14.45">
      <c r="A16" s="741"/>
      <c r="B16" s="747"/>
      <c r="C16" s="754"/>
      <c r="D16" s="548"/>
      <c r="E16" s="56" t="b">
        <f>'Sensitivity Labels'!F21</f>
        <v>1</v>
      </c>
      <c r="F16" t="str">
        <f>'Sensitivity Labels'!G21</f>
        <v>Emails</v>
      </c>
      <c r="G16" s="773"/>
      <c r="H16" s="747"/>
      <c r="I16" s="776"/>
      <c r="J16" s="272" t="str">
        <f>IF(OR('Emails, Files, &amp; Other Data'!X24=TRUE,'Emails, Files, &amp; Other Data'!X25=TRUE,'Emails, Files, &amp; Other Data'!X26=TRUE),"Yes","No")</f>
        <v>No</v>
      </c>
      <c r="K16" s="267"/>
      <c r="L16" s="267"/>
      <c r="M16" s="268" t="b">
        <f>'Emails, Files, &amp; Other Data'!J25</f>
        <v>0</v>
      </c>
      <c r="N16" s="267" t="str">
        <f>N12</f>
        <v>Let users assign permissions when they apply the label</v>
      </c>
      <c r="O16" s="273" t="str">
        <f>O$12</f>
        <v>Content Marking</v>
      </c>
      <c r="P16" s="695"/>
      <c r="Q16" s="708"/>
      <c r="R16" s="710"/>
      <c r="S16" s="712"/>
      <c r="T16" s="710"/>
      <c r="U16" s="712"/>
      <c r="V16" s="734"/>
    </row>
    <row r="17" spans="1:22" ht="14.45" customHeight="1">
      <c r="A17" s="741"/>
      <c r="B17" s="747"/>
      <c r="C17" s="754"/>
      <c r="D17" s="548"/>
      <c r="E17" s="56" t="b">
        <f>'Sensitivity Labels'!F23</f>
        <v>1</v>
      </c>
      <c r="F17" t="str">
        <f>'Sensitivity Labels'!G23</f>
        <v>Meetings</v>
      </c>
      <c r="G17" s="773"/>
      <c r="H17" s="747"/>
      <c r="I17" s="776"/>
      <c r="J17" s="692" t="str">
        <f>IF('Emails, Files, &amp; Other Data'!AB24=TRUE,"Yes","No")</f>
        <v>No</v>
      </c>
      <c r="K17" s="267"/>
      <c r="L17" s="267"/>
      <c r="M17" s="267"/>
      <c r="N17" s="267"/>
      <c r="O17" s="703" t="str">
        <f>O$13</f>
        <v>Auto-labeling for files and emails: "Client-side Auto-Labeling"</v>
      </c>
      <c r="P17" s="695"/>
      <c r="Q17" s="713" t="str">
        <f>IF('Groups &amp; Sites'!H24=TRUE,"Yes","No")</f>
        <v>No</v>
      </c>
      <c r="R17" s="715" t="str">
        <f>R$13</f>
        <v>Let Microsoft 365 Group owners add people outside your organization to the group as guests.</v>
      </c>
      <c r="S17" s="717" t="str">
        <f>IF('Groups &amp; Sites'!K23=TRUE,"Yes","No")</f>
        <v>No</v>
      </c>
      <c r="T17" s="719" t="str">
        <f>T$13</f>
        <v>Use Microsoft Entra Conditional Access to protect labeled SharePoint sites</v>
      </c>
      <c r="U17" s="720" t="str">
        <f>IF(OR('Groups &amp; Sites'!S25=TRUE,'Groups &amp; Sites'!S26=TRUE,'Groups &amp; Sites'!S27=TRUE),"Yes","No")</f>
        <v>No</v>
      </c>
      <c r="V17" s="701" t="str">
        <f>V$13</f>
        <v>Teams shared channels</v>
      </c>
    </row>
    <row r="18" spans="1:22" ht="15" thickBot="1">
      <c r="A18" s="742"/>
      <c r="B18" s="748"/>
      <c r="C18" s="755"/>
      <c r="D18" s="549"/>
      <c r="E18" s="61" t="b">
        <f>'Sensitivity Labels'!F25</f>
        <v>1</v>
      </c>
      <c r="F18" s="59" t="str">
        <f>'Sensitivity Labels'!G25</f>
        <v>Groups &amp; Sites</v>
      </c>
      <c r="G18" s="774"/>
      <c r="H18" s="748"/>
      <c r="I18" s="777"/>
      <c r="J18" s="693"/>
      <c r="K18" s="269"/>
      <c r="L18" s="269"/>
      <c r="M18" s="269"/>
      <c r="N18" s="269"/>
      <c r="O18" s="704"/>
      <c r="P18" s="696"/>
      <c r="Q18" s="714"/>
      <c r="R18" s="716"/>
      <c r="S18" s="718"/>
      <c r="T18" s="716"/>
      <c r="U18" s="718"/>
      <c r="V18" s="702"/>
    </row>
    <row r="19" spans="1:22" ht="14.45" customHeight="1">
      <c r="A19" s="737">
        <f>A15+1</f>
        <v>3</v>
      </c>
      <c r="B19" s="749" t="str">
        <f>'Sensitivity Labels'!C27</f>
        <v>Parent Label</v>
      </c>
      <c r="C19" s="751" t="str">
        <f>'Sensitivity Labels'!D27</f>
        <v>Confidential</v>
      </c>
      <c r="D19" s="743" t="str">
        <f>'Sensitivity Labels'!E27</f>
        <v>Confidential</v>
      </c>
      <c r="E19" s="299" t="b">
        <f>'Sensitivity Labels'!F27</f>
        <v>0</v>
      </c>
      <c r="F19" s="300" t="str">
        <f>'Sensitivity Labels'!G27</f>
        <v>Files &amp; Other Data assets</v>
      </c>
      <c r="G19" s="769">
        <f>'Sensitivity Labels'!I27</f>
        <v>0</v>
      </c>
      <c r="H19" s="749">
        <f>'Sensitivity Labels'!J27</f>
        <v>0</v>
      </c>
      <c r="I19" s="725" t="str">
        <f>'Sensitivity Labels'!K27</f>
        <v>Orange</v>
      </c>
      <c r="J19" s="301" t="str">
        <f>IF(OR(M19=TRUE,M20=TRUE),"Encryption",(IF(K19=TRUE,"Remove Encryption","No Encryption")))</f>
        <v>No Encryption</v>
      </c>
      <c r="K19" s="302" t="b">
        <f>'Emails, Files, &amp; Other Data'!H36</f>
        <v>0</v>
      </c>
      <c r="L19" s="303" t="str">
        <f>L15</f>
        <v>Remove access control settings if already applied to items</v>
      </c>
      <c r="M19" s="302" t="b">
        <f>'Emails, Files, &amp; Other Data'!J36</f>
        <v>0</v>
      </c>
      <c r="N19" s="303" t="str">
        <f>N15</f>
        <v>Assign Permissions now</v>
      </c>
      <c r="O19" s="304" t="str">
        <f>O$11</f>
        <v>Access Control</v>
      </c>
      <c r="P19" s="697" t="str">
        <f>IF(E21=TRUE,"Yes","No")</f>
        <v>No</v>
      </c>
      <c r="Q19" s="721" t="str">
        <f>IF(OR('Groups &amp; Sites'!H31=INputs!AN$3,'Groups &amp; Sites'!H31=INputs!AN$4),"Yes","No")</f>
        <v>No</v>
      </c>
      <c r="R19" s="723" t="str">
        <f>R$11</f>
        <v>Privacy and external user access</v>
      </c>
      <c r="S19" s="725" t="str">
        <f>IF('Groups &amp; Sites'!K31=TRUE,"Yes","No")</f>
        <v>No</v>
      </c>
      <c r="T19" s="723" t="str">
        <f>T$11</f>
        <v>Content can be shared with</v>
      </c>
      <c r="U19" s="725" t="str">
        <f>IF('Groups &amp; Sites'!S32=TRUE,"Yes","No")</f>
        <v>No</v>
      </c>
      <c r="V19" s="735" t="str">
        <f>V$11</f>
        <v>Allow users to discover private teams that have this label applied.</v>
      </c>
    </row>
    <row r="20" spans="1:22" ht="14.45">
      <c r="A20" s="738"/>
      <c r="B20" s="749"/>
      <c r="C20" s="751"/>
      <c r="D20" s="744"/>
      <c r="E20" s="299" t="b">
        <f>'Sensitivity Labels'!F29</f>
        <v>0</v>
      </c>
      <c r="F20" s="300" t="str">
        <f>'Sensitivity Labels'!G29</f>
        <v>Emails</v>
      </c>
      <c r="G20" s="769"/>
      <c r="H20" s="749"/>
      <c r="I20" s="725"/>
      <c r="J20" s="305" t="str">
        <f>IF(OR('Emails, Files, &amp; Other Data'!X36=TRUE,'Emails, Files, &amp; Other Data'!X37=TRUE,'Emails, Files, &amp; Other Data'!X38=TRUE),"Yes","No")</f>
        <v>No</v>
      </c>
      <c r="K20" s="306"/>
      <c r="L20" s="306"/>
      <c r="M20" s="307" t="b">
        <f>'Emails, Files, &amp; Other Data'!J37</f>
        <v>0</v>
      </c>
      <c r="N20" s="306" t="str">
        <f>N16</f>
        <v>Let users assign permissions when they apply the label</v>
      </c>
      <c r="O20" s="308" t="str">
        <f>O$12</f>
        <v>Content Marking</v>
      </c>
      <c r="P20" s="697"/>
      <c r="Q20" s="722"/>
      <c r="R20" s="724"/>
      <c r="S20" s="726"/>
      <c r="T20" s="724"/>
      <c r="U20" s="726"/>
      <c r="V20" s="736"/>
    </row>
    <row r="21" spans="1:22" ht="14.45" customHeight="1">
      <c r="A21" s="738"/>
      <c r="B21" s="749"/>
      <c r="C21" s="751"/>
      <c r="D21" s="744"/>
      <c r="E21" s="299" t="b">
        <f>'Sensitivity Labels'!F31</f>
        <v>0</v>
      </c>
      <c r="F21" s="300" t="str">
        <f>'Sensitivity Labels'!G31</f>
        <v>Meetings</v>
      </c>
      <c r="G21" s="769"/>
      <c r="H21" s="749"/>
      <c r="I21" s="725"/>
      <c r="J21" s="699" t="str">
        <f>IF('Emails, Files, &amp; Other Data'!AB36=TRUE,"Yes","No")</f>
        <v>No</v>
      </c>
      <c r="K21" s="306"/>
      <c r="L21" s="306"/>
      <c r="M21" s="306"/>
      <c r="N21" s="306"/>
      <c r="O21" s="705" t="str">
        <f>O$13</f>
        <v>Auto-labeling for files and emails: "Client-side Auto-Labeling"</v>
      </c>
      <c r="P21" s="697"/>
      <c r="Q21" s="727" t="str">
        <f>IF('Groups &amp; Sites'!H33=TRUE,"Yes","No")</f>
        <v>No</v>
      </c>
      <c r="R21" s="728" t="str">
        <f>R$13</f>
        <v>Let Microsoft 365 Group owners add people outside your organization to the group as guests.</v>
      </c>
      <c r="S21" s="725" t="str">
        <f>IF('Groups &amp; Sites'!K32=TRUE,"Yes","No")</f>
        <v>No</v>
      </c>
      <c r="T21" s="729" t="str">
        <f>T$13</f>
        <v>Use Microsoft Entra Conditional Access to protect labeled SharePoint sites</v>
      </c>
      <c r="U21" s="730" t="str">
        <f>IF(OR('Groups &amp; Sites'!S34=TRUE,'Groups &amp; Sites'!S35=TRUE,'Groups &amp; Sites'!S36=TRUE),"Yes","No")</f>
        <v>No</v>
      </c>
      <c r="V21" s="731" t="str">
        <f>V$13</f>
        <v>Teams shared channels</v>
      </c>
    </row>
    <row r="22" spans="1:22" ht="15" thickBot="1">
      <c r="A22" s="739"/>
      <c r="B22" s="750"/>
      <c r="C22" s="752"/>
      <c r="D22" s="745"/>
      <c r="E22" s="309" t="b">
        <f>'Sensitivity Labels'!F33</f>
        <v>0</v>
      </c>
      <c r="F22" s="310" t="str">
        <f>'Sensitivity Labels'!G33</f>
        <v>Groups &amp; Sites</v>
      </c>
      <c r="G22" s="770"/>
      <c r="H22" s="750"/>
      <c r="I22" s="771"/>
      <c r="J22" s="700"/>
      <c r="K22" s="311"/>
      <c r="L22" s="311"/>
      <c r="M22" s="311"/>
      <c r="N22" s="311"/>
      <c r="O22" s="706"/>
      <c r="P22" s="698"/>
      <c r="Q22" s="721"/>
      <c r="R22" s="729"/>
      <c r="S22" s="725"/>
      <c r="T22" s="729"/>
      <c r="U22" s="725"/>
      <c r="V22" s="732"/>
    </row>
    <row r="23" spans="1:22" ht="14.45" customHeight="1">
      <c r="A23" s="740">
        <f>A19+1</f>
        <v>4</v>
      </c>
      <c r="B23" s="746" t="str">
        <f>'Sensitivity Labels'!C35</f>
        <v>Sub Label</v>
      </c>
      <c r="C23" s="753" t="str">
        <f>'Sensitivity Labels'!D35</f>
        <v>All Employees</v>
      </c>
      <c r="D23" s="547" t="str">
        <f>'Sensitivity Labels'!E35</f>
        <v>All Employees</v>
      </c>
      <c r="E23" s="52" t="b">
        <f>'Sensitivity Labels'!F35</f>
        <v>1</v>
      </c>
      <c r="F23" s="54" t="str">
        <f>'Sensitivity Labels'!G35</f>
        <v>Files &amp; Other Data assets</v>
      </c>
      <c r="G23" s="772" t="str">
        <f>'Sensitivity Labels'!I35</f>
        <v>Confidential data that requires protection, which allows all employees full permissions. Data owners can track and revoke content.</v>
      </c>
      <c r="H23" s="746">
        <f>'Sensitivity Labels'!J35</f>
        <v>0</v>
      </c>
      <c r="I23" s="775" t="str">
        <f>'Sensitivity Labels'!K35</f>
        <v>Orange</v>
      </c>
      <c r="J23" s="270" t="str">
        <f>IF(OR(M23=TRUE,M24=TRUE),"Encryption",(IF(K23=TRUE,"Remove Encryption","No Encryption")))</f>
        <v>Encryption</v>
      </c>
      <c r="K23" s="265" t="b">
        <f>'Emails, Files, &amp; Other Data'!H48</f>
        <v>0</v>
      </c>
      <c r="L23" s="266" t="str">
        <f>L19</f>
        <v>Remove access control settings if already applied to items</v>
      </c>
      <c r="M23" s="265" t="b">
        <f>'Emails, Files, &amp; Other Data'!J48</f>
        <v>1</v>
      </c>
      <c r="N23" s="266" t="str">
        <f>N19</f>
        <v>Assign Permissions now</v>
      </c>
      <c r="O23" s="271" t="str">
        <f>O$11</f>
        <v>Access Control</v>
      </c>
      <c r="P23" s="694" t="str">
        <f>IF(E25=TRUE,"Yes","No")</f>
        <v>Yes</v>
      </c>
      <c r="Q23" s="707" t="str">
        <f>IF(OR('Groups &amp; Sites'!H40=INputs!AN$3,'Groups &amp; Sites'!H40=INputs!AN$4),"Yes","No")</f>
        <v>Yes</v>
      </c>
      <c r="R23" s="709" t="str">
        <f>R$11</f>
        <v>Privacy and external user access</v>
      </c>
      <c r="S23" s="711" t="str">
        <f>IF('Groups &amp; Sites'!K40=TRUE,"Yes","No")</f>
        <v>Yes</v>
      </c>
      <c r="T23" s="709" t="str">
        <f>T$11</f>
        <v>Content can be shared with</v>
      </c>
      <c r="U23" s="711" t="str">
        <f>IF('Groups &amp; Sites'!S41=TRUE,"Yes","No")</f>
        <v>No</v>
      </c>
      <c r="V23" s="733" t="str">
        <f>V$11</f>
        <v>Allow users to discover private teams that have this label applied.</v>
      </c>
    </row>
    <row r="24" spans="1:22" ht="14.45">
      <c r="A24" s="741"/>
      <c r="B24" s="747"/>
      <c r="C24" s="754"/>
      <c r="D24" s="548"/>
      <c r="E24" s="56" t="b">
        <f>'Sensitivity Labels'!F37</f>
        <v>1</v>
      </c>
      <c r="F24" t="str">
        <f>'Sensitivity Labels'!G37</f>
        <v>Emails</v>
      </c>
      <c r="G24" s="773"/>
      <c r="H24" s="747"/>
      <c r="I24" s="776"/>
      <c r="J24" s="272" t="str">
        <f>IF(OR('Emails, Files, &amp; Other Data'!X48=TRUE,'Emails, Files, &amp; Other Data'!X49=TRUE,'Emails, Files, &amp; Other Data'!X50=TRUE),"Yes","No")</f>
        <v>Yes</v>
      </c>
      <c r="K24" s="267"/>
      <c r="L24" s="267"/>
      <c r="M24" s="268" t="b">
        <f>'Emails, Files, &amp; Other Data'!J49</f>
        <v>0</v>
      </c>
      <c r="N24" s="267" t="str">
        <f>N20</f>
        <v>Let users assign permissions when they apply the label</v>
      </c>
      <c r="O24" s="273" t="str">
        <f>O$12</f>
        <v>Content Marking</v>
      </c>
      <c r="P24" s="695"/>
      <c r="Q24" s="708"/>
      <c r="R24" s="710"/>
      <c r="S24" s="712"/>
      <c r="T24" s="710"/>
      <c r="U24" s="712"/>
      <c r="V24" s="734"/>
    </row>
    <row r="25" spans="1:22" ht="14.45" customHeight="1">
      <c r="A25" s="741"/>
      <c r="B25" s="747"/>
      <c r="C25" s="754"/>
      <c r="D25" s="548"/>
      <c r="E25" s="56" t="b">
        <f>'Sensitivity Labels'!F39</f>
        <v>1</v>
      </c>
      <c r="F25" t="str">
        <f>'Sensitivity Labels'!G39</f>
        <v>Meetings</v>
      </c>
      <c r="G25" s="773"/>
      <c r="H25" s="747"/>
      <c r="I25" s="776"/>
      <c r="J25" s="692" t="str">
        <f>IF('Emails, Files, &amp; Other Data'!AB48=TRUE,"Yes","No")</f>
        <v>No</v>
      </c>
      <c r="K25" s="267"/>
      <c r="L25" s="267"/>
      <c r="M25" s="267"/>
      <c r="N25" s="267"/>
      <c r="O25" s="703" t="str">
        <f>O$13</f>
        <v>Auto-labeling for files and emails: "Client-side Auto-Labeling"</v>
      </c>
      <c r="P25" s="695"/>
      <c r="Q25" s="713" t="str">
        <f>IF('Groups &amp; Sites'!H42=TRUE,"Yes","No")</f>
        <v>No</v>
      </c>
      <c r="R25" s="715" t="str">
        <f>R$13</f>
        <v>Let Microsoft 365 Group owners add people outside your organization to the group as guests.</v>
      </c>
      <c r="S25" s="717" t="str">
        <f>IF('Groups &amp; Sites'!K41=TRUE,"Yes","No")</f>
        <v>Yes</v>
      </c>
      <c r="T25" s="719" t="str">
        <f>T$13</f>
        <v>Use Microsoft Entra Conditional Access to protect labeled SharePoint sites</v>
      </c>
      <c r="U25" s="720" t="str">
        <f>IF(OR('Groups &amp; Sites'!S43=TRUE,'Groups &amp; Sites'!S44=TRUE,'Groups &amp; Sites'!S45=TRUE),"Yes","No")</f>
        <v>No</v>
      </c>
      <c r="V25" s="701" t="str">
        <f>V$13</f>
        <v>Teams shared channels</v>
      </c>
    </row>
    <row r="26" spans="1:22" ht="15" thickBot="1">
      <c r="A26" s="742"/>
      <c r="B26" s="748"/>
      <c r="C26" s="755"/>
      <c r="D26" s="549"/>
      <c r="E26" s="61" t="b">
        <f>'Sensitivity Labels'!F41</f>
        <v>1</v>
      </c>
      <c r="F26" s="59" t="str">
        <f>'Sensitivity Labels'!G41</f>
        <v>Groups &amp; Sites</v>
      </c>
      <c r="G26" s="774"/>
      <c r="H26" s="748"/>
      <c r="I26" s="777"/>
      <c r="J26" s="693"/>
      <c r="K26" s="269"/>
      <c r="L26" s="269"/>
      <c r="M26" s="269"/>
      <c r="N26" s="269"/>
      <c r="O26" s="704"/>
      <c r="P26" s="696"/>
      <c r="Q26" s="714"/>
      <c r="R26" s="716"/>
      <c r="S26" s="718"/>
      <c r="T26" s="716"/>
      <c r="U26" s="718"/>
      <c r="V26" s="702"/>
    </row>
    <row r="27" spans="1:22" ht="14.45" customHeight="1">
      <c r="A27" s="737">
        <f>A23+1</f>
        <v>5</v>
      </c>
      <c r="B27" s="749" t="str">
        <f>'Sensitivity Labels'!C43</f>
        <v>Sub Label</v>
      </c>
      <c r="C27" s="751" t="str">
        <f>'Sensitivity Labels'!D43</f>
        <v>Specific People</v>
      </c>
      <c r="D27" s="743" t="str">
        <f>'Sensitivity Labels'!E43</f>
        <v>Specific People</v>
      </c>
      <c r="E27" s="299" t="b">
        <f>'Sensitivity Labels'!F43</f>
        <v>1</v>
      </c>
      <c r="F27" s="300" t="str">
        <f>'Sensitivity Labels'!G43</f>
        <v>Files &amp; Other Data assets</v>
      </c>
      <c r="G27" s="769" t="str">
        <f>'Sensitivity Labels'!I43</f>
        <v>Confidential data that can be shared with trusted people inside and outside your organization. These people can also reshare the data as needed.</v>
      </c>
      <c r="H27" s="749">
        <f>'Sensitivity Labels'!J43</f>
        <v>0</v>
      </c>
      <c r="I27" s="725" t="str">
        <f>'Sensitivity Labels'!K43</f>
        <v>Orange</v>
      </c>
      <c r="J27" s="301" t="str">
        <f>IF(OR(M27=TRUE,M28=TRUE),"Encryption",(IF(K27=TRUE,"Remove Encryption","No Encryption")))</f>
        <v>Encryption</v>
      </c>
      <c r="K27" s="302" t="b">
        <f>'Emails, Files, &amp; Other Data'!H60</f>
        <v>0</v>
      </c>
      <c r="L27" s="303" t="str">
        <f>L23</f>
        <v>Remove access control settings if already applied to items</v>
      </c>
      <c r="M27" s="302" t="b">
        <f>'Emails, Files, &amp; Other Data'!J60</f>
        <v>0</v>
      </c>
      <c r="N27" s="303" t="str">
        <f>N23</f>
        <v>Assign Permissions now</v>
      </c>
      <c r="O27" s="304" t="str">
        <f>O$11</f>
        <v>Access Control</v>
      </c>
      <c r="P27" s="697" t="str">
        <f>IF(E29=TRUE,"Yes","No")</f>
        <v>Yes</v>
      </c>
      <c r="Q27" s="721" t="str">
        <f>IF(OR('Groups &amp; Sites'!H49=INputs!AN$3,'Groups &amp; Sites'!H49=INputs!AN$4),"Yes","No")</f>
        <v>Yes</v>
      </c>
      <c r="R27" s="723" t="str">
        <f>R$11</f>
        <v>Privacy and external user access</v>
      </c>
      <c r="S27" s="725" t="str">
        <f>IF('Groups &amp; Sites'!K49=TRUE,"Yes","No")</f>
        <v>Yes</v>
      </c>
      <c r="T27" s="723" t="str">
        <f>T$11</f>
        <v>Content can be shared with</v>
      </c>
      <c r="U27" s="725" t="str">
        <f>IF('Groups &amp; Sites'!S50=TRUE,"Yes","No")</f>
        <v>No</v>
      </c>
      <c r="V27" s="735" t="str">
        <f>V$11</f>
        <v>Allow users to discover private teams that have this label applied.</v>
      </c>
    </row>
    <row r="28" spans="1:22" ht="14.45">
      <c r="A28" s="738"/>
      <c r="B28" s="749"/>
      <c r="C28" s="751"/>
      <c r="D28" s="744"/>
      <c r="E28" s="299" t="b">
        <f>'Sensitivity Labels'!F45</f>
        <v>1</v>
      </c>
      <c r="F28" s="300" t="str">
        <f>'Sensitivity Labels'!G45</f>
        <v>Emails</v>
      </c>
      <c r="G28" s="769"/>
      <c r="H28" s="749"/>
      <c r="I28" s="725"/>
      <c r="J28" s="305" t="str">
        <f>IF(OR('Emails, Files, &amp; Other Data'!X60=TRUE,'Emails, Files, &amp; Other Data'!X61=TRUE,'Emails, Files, &amp; Other Data'!X62=TRUE),"Yes","No")</f>
        <v>Yes</v>
      </c>
      <c r="K28" s="306"/>
      <c r="L28" s="306"/>
      <c r="M28" s="307" t="b">
        <f>'Emails, Files, &amp; Other Data'!J61</f>
        <v>1</v>
      </c>
      <c r="N28" s="306" t="str">
        <f>N24</f>
        <v>Let users assign permissions when they apply the label</v>
      </c>
      <c r="O28" s="308" t="str">
        <f>O$12</f>
        <v>Content Marking</v>
      </c>
      <c r="P28" s="697"/>
      <c r="Q28" s="722"/>
      <c r="R28" s="724"/>
      <c r="S28" s="726" t="str">
        <f>IF('Groups &amp; Sites'!K50=TRUE,"Yes","No")</f>
        <v>Yes</v>
      </c>
      <c r="T28" s="724" t="str">
        <f>T$13</f>
        <v>Use Microsoft Entra Conditional Access to protect labeled SharePoint sites</v>
      </c>
      <c r="U28" s="726"/>
      <c r="V28" s="736"/>
    </row>
    <row r="29" spans="1:22" ht="14.45" customHeight="1">
      <c r="A29" s="738"/>
      <c r="B29" s="749"/>
      <c r="C29" s="751"/>
      <c r="D29" s="744"/>
      <c r="E29" s="299" t="b">
        <f>'Sensitivity Labels'!F47</f>
        <v>1</v>
      </c>
      <c r="F29" s="300" t="str">
        <f>'Sensitivity Labels'!G47</f>
        <v>Meetings</v>
      </c>
      <c r="G29" s="769"/>
      <c r="H29" s="749"/>
      <c r="I29" s="725"/>
      <c r="J29" s="699" t="str">
        <f>IF('Emails, Files, &amp; Other Data'!AB60=TRUE,"Yes","No")</f>
        <v>No</v>
      </c>
      <c r="K29" s="306"/>
      <c r="L29" s="306"/>
      <c r="M29" s="306"/>
      <c r="N29" s="306"/>
      <c r="O29" s="705" t="str">
        <f>O$13</f>
        <v>Auto-labeling for files and emails: "Client-side Auto-Labeling"</v>
      </c>
      <c r="P29" s="697"/>
      <c r="Q29" s="727" t="str">
        <f>IF('Groups &amp; Sites'!H51=TRUE,"Yes","No")</f>
        <v>Yes</v>
      </c>
      <c r="R29" s="728" t="str">
        <f>R$13</f>
        <v>Let Microsoft 365 Group owners add people outside your organization to the group as guests.</v>
      </c>
      <c r="S29" s="725" t="str">
        <f>IF('Groups &amp; Sites'!K51=TRUE,"Yes","No")</f>
        <v>No</v>
      </c>
      <c r="T29" s="729" t="str">
        <f>T$13</f>
        <v>Use Microsoft Entra Conditional Access to protect labeled SharePoint sites</v>
      </c>
      <c r="U29" s="730" t="str">
        <f>IF(OR('Groups &amp; Sites'!S52=TRUE,'Groups &amp; Sites'!S53=TRUE,'Groups &amp; Sites'!S54=TRUE),"Yes","No")</f>
        <v>No</v>
      </c>
      <c r="V29" s="731" t="str">
        <f>V$13</f>
        <v>Teams shared channels</v>
      </c>
    </row>
    <row r="30" spans="1:22" ht="15" thickBot="1">
      <c r="A30" s="739"/>
      <c r="B30" s="750"/>
      <c r="C30" s="752"/>
      <c r="D30" s="745"/>
      <c r="E30" s="309" t="b">
        <f>'Sensitivity Labels'!F49</f>
        <v>1</v>
      </c>
      <c r="F30" s="310" t="str">
        <f>'Sensitivity Labels'!G49</f>
        <v>Groups &amp; Sites</v>
      </c>
      <c r="G30" s="770"/>
      <c r="H30" s="750"/>
      <c r="I30" s="771"/>
      <c r="J30" s="700"/>
      <c r="K30" s="311"/>
      <c r="L30" s="311"/>
      <c r="M30" s="311"/>
      <c r="N30" s="311"/>
      <c r="O30" s="706"/>
      <c r="P30" s="698"/>
      <c r="Q30" s="721"/>
      <c r="R30" s="729"/>
      <c r="S30" s="725" t="str">
        <f>IF('Groups &amp; Sites'!K52=TRUE,"Yes","No")</f>
        <v>No</v>
      </c>
      <c r="T30" s="729"/>
      <c r="U30" s="725"/>
      <c r="V30" s="732"/>
    </row>
    <row r="31" spans="1:22" ht="14.45" customHeight="1">
      <c r="A31" s="740">
        <f>A27+1</f>
        <v>6</v>
      </c>
      <c r="B31" s="746" t="str">
        <f>'Sensitivity Labels'!C51</f>
        <v>Sub Label</v>
      </c>
      <c r="C31" s="753"/>
      <c r="D31" s="547" t="str">
        <f>'Sensitivity Labels'!E51</f>
        <v>Internal exception</v>
      </c>
      <c r="E31" s="52" t="b">
        <f>'Sensitivity Labels'!F51</f>
        <v>1</v>
      </c>
      <c r="F31" s="54" t="str">
        <f>'Sensitivity Labels'!G51</f>
        <v>Files &amp; Other Data assets</v>
      </c>
      <c r="G31" s="772" t="str">
        <f>'Sensitivity Labels'!I51</f>
        <v>Confidential data that doesn’t need to be encrypted. Use this option with care and appropriate business justification.</v>
      </c>
      <c r="H31" s="746">
        <f>'Sensitivity Labels'!J51</f>
        <v>0</v>
      </c>
      <c r="I31" s="775" t="str">
        <f>'Sensitivity Labels'!K51</f>
        <v>Orange</v>
      </c>
      <c r="J31" s="270" t="str">
        <f>IF(OR(M31=TRUE,M32=TRUE),"Encryption",(IF(K31=TRUE,"Remove Encryption","No Encryption")))</f>
        <v>No Encryption</v>
      </c>
      <c r="K31" s="265" t="b">
        <f>'Emails, Files, &amp; Other Data'!H72</f>
        <v>0</v>
      </c>
      <c r="L31" s="266" t="str">
        <f>L27</f>
        <v>Remove access control settings if already applied to items</v>
      </c>
      <c r="M31" s="265" t="b">
        <f>'Emails, Files, &amp; Other Data'!J72</f>
        <v>0</v>
      </c>
      <c r="N31" s="266" t="str">
        <f>N27</f>
        <v>Assign Permissions now</v>
      </c>
      <c r="O31" s="271" t="str">
        <f>O$11</f>
        <v>Access Control</v>
      </c>
      <c r="P31" s="694" t="str">
        <f>IF(E33=TRUE,"Yes","No")</f>
        <v>Yes</v>
      </c>
      <c r="Q31" s="707" t="str">
        <f>IF(OR('Groups &amp; Sites'!H58=INputs!AN$3,'Groups &amp; Sites'!H58=INputs!AN$4),"Yes","No")</f>
        <v>No</v>
      </c>
      <c r="R31" s="709" t="str">
        <f>R$11</f>
        <v>Privacy and external user access</v>
      </c>
      <c r="S31" s="711" t="str">
        <f>IF('Groups &amp; Sites'!K58=TRUE,"Yes","No")</f>
        <v>No</v>
      </c>
      <c r="T31" s="709" t="str">
        <f>T$11</f>
        <v>Content can be shared with</v>
      </c>
      <c r="U31" s="711" t="str">
        <f>IF('Groups &amp; Sites'!S59=TRUE,"Yes","No")</f>
        <v>No</v>
      </c>
      <c r="V31" s="733" t="str">
        <f>V$11</f>
        <v>Allow users to discover private teams that have this label applied.</v>
      </c>
    </row>
    <row r="32" spans="1:22" ht="14.45">
      <c r="A32" s="741"/>
      <c r="B32" s="747">
        <f>'Sensitivity Labels'!C53</f>
        <v>0</v>
      </c>
      <c r="C32" s="754">
        <f>'Sensitivity Labels'!D53</f>
        <v>0</v>
      </c>
      <c r="D32" s="548">
        <f>'Sensitivity Labels'!E53</f>
        <v>0</v>
      </c>
      <c r="E32" s="56" t="b">
        <f>'Sensitivity Labels'!F53</f>
        <v>1</v>
      </c>
      <c r="F32" t="str">
        <f>'Sensitivity Labels'!G53</f>
        <v>Emails</v>
      </c>
      <c r="G32" s="773"/>
      <c r="H32" s="747"/>
      <c r="I32" s="776"/>
      <c r="J32" s="272" t="str">
        <f>IF(OR('Emails, Files, &amp; Other Data'!X72=TRUE,'Emails, Files, &amp; Other Data'!X73=TRUE,'Emails, Files, &amp; Other Data'!X74=TRUE),"Yes","No")</f>
        <v>Yes</v>
      </c>
      <c r="K32" s="267"/>
      <c r="L32" s="267"/>
      <c r="M32" s="268" t="b">
        <f>'Emails, Files, &amp; Other Data'!J73</f>
        <v>0</v>
      </c>
      <c r="N32" s="267" t="str">
        <f>N28</f>
        <v>Let users assign permissions when they apply the label</v>
      </c>
      <c r="O32" s="273" t="str">
        <f>O$12</f>
        <v>Content Marking</v>
      </c>
      <c r="P32" s="695"/>
      <c r="Q32" s="708"/>
      <c r="R32" s="710"/>
      <c r="S32" s="712"/>
      <c r="T32" s="710"/>
      <c r="U32" s="712"/>
      <c r="V32" s="734"/>
    </row>
    <row r="33" spans="1:22" ht="14.45" customHeight="1">
      <c r="A33" s="741"/>
      <c r="B33" s="747"/>
      <c r="C33" s="754"/>
      <c r="D33" s="548"/>
      <c r="E33" s="56" t="b">
        <f>'Sensitivity Labels'!F55</f>
        <v>1</v>
      </c>
      <c r="F33" t="str">
        <f>'Sensitivity Labels'!G55</f>
        <v>Meetings</v>
      </c>
      <c r="G33" s="773"/>
      <c r="H33" s="747"/>
      <c r="I33" s="776"/>
      <c r="J33" s="692" t="str">
        <f>IF('Emails, Files, &amp; Other Data'!AB72=TRUE,"Yes","No")</f>
        <v>No</v>
      </c>
      <c r="K33" s="267"/>
      <c r="L33" s="267"/>
      <c r="M33" s="267"/>
      <c r="N33" s="267"/>
      <c r="O33" s="703" t="str">
        <f>O$13</f>
        <v>Auto-labeling for files and emails: "Client-side Auto-Labeling"</v>
      </c>
      <c r="P33" s="695"/>
      <c r="Q33" s="713" t="str">
        <f>IF('Groups &amp; Sites'!H60=TRUE,"Yes","No")</f>
        <v>No</v>
      </c>
      <c r="R33" s="715" t="str">
        <f>R$13</f>
        <v>Let Microsoft 365 Group owners add people outside your organization to the group as guests.</v>
      </c>
      <c r="S33" s="717" t="str">
        <f>IF('Groups &amp; Sites'!K59=TRUE,"Yes","No")</f>
        <v>No</v>
      </c>
      <c r="T33" s="719" t="str">
        <f>T$13</f>
        <v>Use Microsoft Entra Conditional Access to protect labeled SharePoint sites</v>
      </c>
      <c r="U33" s="720" t="str">
        <f>IF(OR('Groups &amp; Sites'!S61=TRUE,'Groups &amp; Sites'!S62=TRUE,'Groups &amp; Sites'!S63=TRUE),"Yes","No")</f>
        <v>No</v>
      </c>
      <c r="V33" s="701" t="str">
        <f>V$13</f>
        <v>Teams shared channels</v>
      </c>
    </row>
    <row r="34" spans="1:22" ht="15" thickBot="1">
      <c r="A34" s="742"/>
      <c r="B34" s="748"/>
      <c r="C34" s="755"/>
      <c r="D34" s="549"/>
      <c r="E34" s="61" t="b">
        <f>'Sensitivity Labels'!F57</f>
        <v>1</v>
      </c>
      <c r="F34" s="59" t="str">
        <f>'Sensitivity Labels'!G57</f>
        <v>Groups &amp; Sites</v>
      </c>
      <c r="G34" s="774"/>
      <c r="H34" s="748"/>
      <c r="I34" s="777"/>
      <c r="J34" s="693"/>
      <c r="K34" s="269"/>
      <c r="L34" s="269"/>
      <c r="M34" s="269"/>
      <c r="N34" s="269"/>
      <c r="O34" s="704"/>
      <c r="P34" s="696"/>
      <c r="Q34" s="714"/>
      <c r="R34" s="716"/>
      <c r="S34" s="718"/>
      <c r="T34" s="716"/>
      <c r="U34" s="718"/>
      <c r="V34" s="702"/>
    </row>
    <row r="35" spans="1:22" ht="14.45" customHeight="1">
      <c r="A35" s="737">
        <f>A31+1</f>
        <v>7</v>
      </c>
      <c r="B35" s="749" t="str">
        <f>'Sensitivity Labels'!C59</f>
        <v>Parent Label</v>
      </c>
      <c r="C35" s="751" t="str">
        <f>'Sensitivity Labels'!D59</f>
        <v>Highly Confidential</v>
      </c>
      <c r="D35" s="743" t="str">
        <f>'Sensitivity Labels'!E59</f>
        <v>Highly Confidential</v>
      </c>
      <c r="E35" s="299" t="b">
        <f>'Sensitivity Labels'!F59</f>
        <v>0</v>
      </c>
      <c r="F35" s="300" t="str">
        <f>'Sensitivity Labels'!G59</f>
        <v>Files &amp; Other Data assets</v>
      </c>
      <c r="G35" s="769">
        <f>'Sensitivity Labels'!I59</f>
        <v>0</v>
      </c>
      <c r="H35" s="749">
        <f>'Sensitivity Labels'!J59</f>
        <v>0</v>
      </c>
      <c r="I35" s="725" t="str">
        <f>'Sensitivity Labels'!K59</f>
        <v>Amber</v>
      </c>
      <c r="J35" s="301" t="str">
        <f>IF(OR(M35=TRUE,M36=TRUE),"Encryption",(IF(K35=TRUE,"Remove Encryption","No Encryption")))</f>
        <v>No Encryption</v>
      </c>
      <c r="K35" s="302" t="b">
        <f>'Emails, Files, &amp; Other Data'!H84</f>
        <v>0</v>
      </c>
      <c r="L35" s="303" t="str">
        <f>L31</f>
        <v>Remove access control settings if already applied to items</v>
      </c>
      <c r="M35" s="302" t="b">
        <f>'Emails, Files, &amp; Other Data'!J84</f>
        <v>0</v>
      </c>
      <c r="N35" s="303" t="str">
        <f>N31</f>
        <v>Assign Permissions now</v>
      </c>
      <c r="O35" s="304" t="str">
        <f>O$11</f>
        <v>Access Control</v>
      </c>
      <c r="P35" s="697" t="str">
        <f>IF(E37=TRUE,"Yes","No")</f>
        <v>No</v>
      </c>
      <c r="Q35" s="721" t="str">
        <f>IF(OR('Groups &amp; Sites'!H67=INputs!AN$3,'Groups &amp; Sites'!H67=INputs!AN$4),"Yes","No")</f>
        <v>No</v>
      </c>
      <c r="R35" s="723" t="str">
        <f>R$11</f>
        <v>Privacy and external user access</v>
      </c>
      <c r="S35" s="725" t="str">
        <f>IF('Groups &amp; Sites'!K67=TRUE,"Yes","No")</f>
        <v>No</v>
      </c>
      <c r="T35" s="723" t="str">
        <f>T$11</f>
        <v>Content can be shared with</v>
      </c>
      <c r="U35" s="725" t="str">
        <f>IF('Groups &amp; Sites'!S68=TRUE,"Yes","No")</f>
        <v>No</v>
      </c>
      <c r="V35" s="735" t="str">
        <f>V$11</f>
        <v>Allow users to discover private teams that have this label applied.</v>
      </c>
    </row>
    <row r="36" spans="1:22" ht="14.45">
      <c r="A36" s="738"/>
      <c r="B36" s="749"/>
      <c r="C36" s="751"/>
      <c r="D36" s="744"/>
      <c r="E36" s="299" t="b">
        <f>'Sensitivity Labels'!F61</f>
        <v>0</v>
      </c>
      <c r="F36" s="300" t="str">
        <f>'Sensitivity Labels'!G61</f>
        <v>Emails</v>
      </c>
      <c r="G36" s="769"/>
      <c r="H36" s="749"/>
      <c r="I36" s="725"/>
      <c r="J36" s="305" t="str">
        <f>IF(OR('Emails, Files, &amp; Other Data'!X84=TRUE,'Emails, Files, &amp; Other Data'!X85=TRUE,'Emails, Files, &amp; Other Data'!X86=TRUE),"Yes","No")</f>
        <v>No</v>
      </c>
      <c r="K36" s="306"/>
      <c r="L36" s="306"/>
      <c r="M36" s="307" t="b">
        <f>'Emails, Files, &amp; Other Data'!J85</f>
        <v>0</v>
      </c>
      <c r="N36" s="306" t="str">
        <f>N32</f>
        <v>Let users assign permissions when they apply the label</v>
      </c>
      <c r="O36" s="308" t="str">
        <f>O$12</f>
        <v>Content Marking</v>
      </c>
      <c r="P36" s="697"/>
      <c r="Q36" s="722"/>
      <c r="R36" s="724"/>
      <c r="S36" s="726"/>
      <c r="T36" s="724"/>
      <c r="U36" s="726"/>
      <c r="V36" s="736"/>
    </row>
    <row r="37" spans="1:22" ht="14.45" customHeight="1">
      <c r="A37" s="738"/>
      <c r="B37" s="749"/>
      <c r="C37" s="751"/>
      <c r="D37" s="744"/>
      <c r="E37" s="299" t="b">
        <f>'Sensitivity Labels'!F63</f>
        <v>0</v>
      </c>
      <c r="F37" s="300" t="str">
        <f>'Sensitivity Labels'!G63</f>
        <v>Meetings</v>
      </c>
      <c r="G37" s="769"/>
      <c r="H37" s="749"/>
      <c r="I37" s="725"/>
      <c r="J37" s="699" t="str">
        <f>IF('Emails, Files, &amp; Other Data'!AB84=TRUE,"Yes","No")</f>
        <v>No</v>
      </c>
      <c r="K37" s="306"/>
      <c r="L37" s="306"/>
      <c r="M37" s="306"/>
      <c r="N37" s="306"/>
      <c r="O37" s="705" t="str">
        <f>O$13</f>
        <v>Auto-labeling for files and emails: "Client-side Auto-Labeling"</v>
      </c>
      <c r="P37" s="697"/>
      <c r="Q37" s="727" t="str">
        <f>IF('Groups &amp; Sites'!H69=TRUE,"Yes","No")</f>
        <v>No</v>
      </c>
      <c r="R37" s="728" t="str">
        <f>R$13</f>
        <v>Let Microsoft 365 Group owners add people outside your organization to the group as guests.</v>
      </c>
      <c r="S37" s="725" t="str">
        <f>IF('Groups &amp; Sites'!K68=TRUE,"Yes","No")</f>
        <v>No</v>
      </c>
      <c r="T37" s="729" t="str">
        <f>T$13</f>
        <v>Use Microsoft Entra Conditional Access to protect labeled SharePoint sites</v>
      </c>
      <c r="U37" s="730" t="str">
        <f>IF(OR('Groups &amp; Sites'!S70=TRUE,'Groups &amp; Sites'!S71=TRUE,'Groups &amp; Sites'!S72=TRUE),"Yes","No")</f>
        <v>No</v>
      </c>
      <c r="V37" s="731" t="str">
        <f>V$13</f>
        <v>Teams shared channels</v>
      </c>
    </row>
    <row r="38" spans="1:22" ht="15" thickBot="1">
      <c r="A38" s="739"/>
      <c r="B38" s="750"/>
      <c r="C38" s="752"/>
      <c r="D38" s="745"/>
      <c r="E38" s="309" t="b">
        <f>'Sensitivity Labels'!F65</f>
        <v>0</v>
      </c>
      <c r="F38" s="310" t="str">
        <f>'Sensitivity Labels'!G65</f>
        <v>Groups &amp; Sites</v>
      </c>
      <c r="G38" s="770"/>
      <c r="H38" s="750"/>
      <c r="I38" s="771"/>
      <c r="J38" s="700"/>
      <c r="K38" s="311"/>
      <c r="L38" s="311"/>
      <c r="M38" s="311"/>
      <c r="N38" s="311"/>
      <c r="O38" s="706"/>
      <c r="P38" s="698"/>
      <c r="Q38" s="721"/>
      <c r="R38" s="729"/>
      <c r="S38" s="725"/>
      <c r="T38" s="729"/>
      <c r="U38" s="725"/>
      <c r="V38" s="732"/>
    </row>
    <row r="39" spans="1:22" ht="14.45" customHeight="1">
      <c r="A39" s="740">
        <f>A35+1</f>
        <v>8</v>
      </c>
      <c r="B39" s="746" t="str">
        <f>'Sensitivity Labels'!C67</f>
        <v>Sub Label</v>
      </c>
      <c r="C39" s="753" t="str">
        <f>'Sensitivity Labels'!D67</f>
        <v>All Employees</v>
      </c>
      <c r="D39" s="547" t="str">
        <f>'Sensitivity Labels'!E67</f>
        <v>All Employees</v>
      </c>
      <c r="E39" s="52" t="b">
        <f>'Sensitivity Labels'!F67</f>
        <v>1</v>
      </c>
      <c r="F39" s="54" t="str">
        <f>'Sensitivity Labels'!G67</f>
        <v>Files &amp; Other Data assets</v>
      </c>
      <c r="G39" s="772" t="str">
        <f>'Sensitivity Labels'!I67</f>
        <v>Highly confidential data that allows all employees view, edit, and reply permissions to this content. Data owners can track and revoke content.</v>
      </c>
      <c r="H39" s="746">
        <f>'Sensitivity Labels'!J67</f>
        <v>0</v>
      </c>
      <c r="I39" s="775" t="str">
        <f>'Sensitivity Labels'!K67</f>
        <v>Amber</v>
      </c>
      <c r="J39" s="270" t="str">
        <f>IF(OR(M39=TRUE,M40=TRUE),"Encryption",(IF(K39=TRUE,"Remove Encryption","No Encryption")))</f>
        <v>Encryption</v>
      </c>
      <c r="K39" s="265" t="b">
        <f>'Emails, Files, &amp; Other Data'!H96</f>
        <v>0</v>
      </c>
      <c r="L39" s="266" t="str">
        <f>L35</f>
        <v>Remove access control settings if already applied to items</v>
      </c>
      <c r="M39" s="265" t="b">
        <f>'Emails, Files, &amp; Other Data'!J96</f>
        <v>1</v>
      </c>
      <c r="N39" s="266" t="str">
        <f>N35</f>
        <v>Assign Permissions now</v>
      </c>
      <c r="O39" s="271" t="str">
        <f>O$11</f>
        <v>Access Control</v>
      </c>
      <c r="P39" s="694" t="str">
        <f>IF(E41=TRUE,"Yes","No")</f>
        <v>Yes</v>
      </c>
      <c r="Q39" s="707" t="str">
        <f>IF(OR('Groups &amp; Sites'!H76=INputs!AN$3,'Groups &amp; Sites'!H76=INputs!AN$4),"Yes","No")</f>
        <v>Yes</v>
      </c>
      <c r="R39" s="709" t="str">
        <f>R$11</f>
        <v>Privacy and external user access</v>
      </c>
      <c r="S39" s="711" t="str">
        <f>IF('Groups &amp; Sites'!K76=TRUE,"Yes","No")</f>
        <v>Yes</v>
      </c>
      <c r="T39" s="709" t="str">
        <f>T$11</f>
        <v>Content can be shared with</v>
      </c>
      <c r="U39" s="711" t="str">
        <f>IF('Groups &amp; Sites'!S77=TRUE,"Yes","No")</f>
        <v>No</v>
      </c>
      <c r="V39" s="733" t="str">
        <f>V$11</f>
        <v>Allow users to discover private teams that have this label applied.</v>
      </c>
    </row>
    <row r="40" spans="1:22" ht="14.45">
      <c r="A40" s="741"/>
      <c r="B40" s="747"/>
      <c r="C40" s="754"/>
      <c r="D40" s="548"/>
      <c r="E40" s="56" t="b">
        <f>'Sensitivity Labels'!F69</f>
        <v>1</v>
      </c>
      <c r="F40" t="str">
        <f>'Sensitivity Labels'!G69</f>
        <v>Emails</v>
      </c>
      <c r="G40" s="773"/>
      <c r="H40" s="747"/>
      <c r="I40" s="776"/>
      <c r="J40" s="272" t="str">
        <f>IF(OR('Emails, Files, &amp; Other Data'!X96=TRUE,'Emails, Files, &amp; Other Data'!X97=TRUE,'Emails, Files, &amp; Other Data'!X98=TRUE),"Yes","No")</f>
        <v>Yes</v>
      </c>
      <c r="K40" s="267"/>
      <c r="L40" s="267"/>
      <c r="M40" s="268" t="b">
        <f>'Emails, Files, &amp; Other Data'!J97</f>
        <v>0</v>
      </c>
      <c r="N40" s="267" t="str">
        <f>N36</f>
        <v>Let users assign permissions when they apply the label</v>
      </c>
      <c r="O40" s="273" t="str">
        <f>O$12</f>
        <v>Content Marking</v>
      </c>
      <c r="P40" s="695"/>
      <c r="Q40" s="708"/>
      <c r="R40" s="710"/>
      <c r="S40" s="712"/>
      <c r="T40" s="710"/>
      <c r="U40" s="712"/>
      <c r="V40" s="734"/>
    </row>
    <row r="41" spans="1:22" ht="14.45" customHeight="1">
      <c r="A41" s="741"/>
      <c r="B41" s="747"/>
      <c r="C41" s="754"/>
      <c r="D41" s="548"/>
      <c r="E41" s="56" t="b">
        <f>'Sensitivity Labels'!F71</f>
        <v>1</v>
      </c>
      <c r="F41" t="str">
        <f>'Sensitivity Labels'!G71</f>
        <v>Meetings</v>
      </c>
      <c r="G41" s="773"/>
      <c r="H41" s="747"/>
      <c r="I41" s="776"/>
      <c r="J41" s="692" t="str">
        <f>IF('Emails, Files, &amp; Other Data'!AB96=TRUE,"Yes","No")</f>
        <v>Yes</v>
      </c>
      <c r="K41" s="267"/>
      <c r="L41" s="267"/>
      <c r="M41" s="267"/>
      <c r="N41" s="267"/>
      <c r="O41" s="703" t="str">
        <f>O$13</f>
        <v>Auto-labeling for files and emails: "Client-side Auto-Labeling"</v>
      </c>
      <c r="P41" s="695"/>
      <c r="Q41" s="713" t="str">
        <f>IF('Groups &amp; Sites'!H78=TRUE,"Yes","No")</f>
        <v>No</v>
      </c>
      <c r="R41" s="715" t="str">
        <f>R$13</f>
        <v>Let Microsoft 365 Group owners add people outside your organization to the group as guests.</v>
      </c>
      <c r="S41" s="717" t="str">
        <f>IF('Groups &amp; Sites'!K77=TRUE,"Yes","No")</f>
        <v>Yes</v>
      </c>
      <c r="T41" s="719" t="str">
        <f>T$13</f>
        <v>Use Microsoft Entra Conditional Access to protect labeled SharePoint sites</v>
      </c>
      <c r="U41" s="720" t="str">
        <f>IF(OR('Groups &amp; Sites'!S79=TRUE,'Groups &amp; Sites'!S80=TRUE,'Groups &amp; Sites'!S81=TRUE),"Yes","No")</f>
        <v>No</v>
      </c>
      <c r="V41" s="701" t="str">
        <f>V$13</f>
        <v>Teams shared channels</v>
      </c>
    </row>
    <row r="42" spans="1:22" ht="15" thickBot="1">
      <c r="A42" s="741"/>
      <c r="B42" s="748"/>
      <c r="C42" s="755"/>
      <c r="D42" s="549"/>
      <c r="E42" s="61" t="b">
        <f>'Sensitivity Labels'!F73</f>
        <v>1</v>
      </c>
      <c r="F42" s="59" t="str">
        <f>'Sensitivity Labels'!G73</f>
        <v>Groups &amp; Sites</v>
      </c>
      <c r="G42" s="774"/>
      <c r="H42" s="748"/>
      <c r="I42" s="777"/>
      <c r="J42" s="693"/>
      <c r="K42" s="269"/>
      <c r="L42" s="269"/>
      <c r="M42" s="269"/>
      <c r="N42" s="269"/>
      <c r="O42" s="704"/>
      <c r="P42" s="696"/>
      <c r="Q42" s="714"/>
      <c r="R42" s="716"/>
      <c r="S42" s="718"/>
      <c r="T42" s="716"/>
      <c r="U42" s="718"/>
      <c r="V42" s="702"/>
    </row>
    <row r="43" spans="1:22" ht="14.45" customHeight="1">
      <c r="A43" s="737">
        <f>A39+1</f>
        <v>9</v>
      </c>
      <c r="B43" s="749" t="str">
        <f>'Sensitivity Labels'!C75</f>
        <v>Sub Label</v>
      </c>
      <c r="C43" s="751" t="str">
        <f>'Sensitivity Labels'!D75</f>
        <v>Specific People</v>
      </c>
      <c r="D43" s="743" t="str">
        <f>'Sensitivity Labels'!E75</f>
        <v>Specific People</v>
      </c>
      <c r="E43" s="299" t="b">
        <f>'Sensitivity Labels'!F75</f>
        <v>1</v>
      </c>
      <c r="F43" s="300" t="str">
        <f>'Sensitivity Labels'!G75</f>
        <v>Files &amp; Other Data assets</v>
      </c>
      <c r="G43" s="769" t="str">
        <f>'Sensitivity Labels'!I75</f>
        <v>Highly confidential data that requires protection and can be viewed only by people you specify and with the permission level you choose.</v>
      </c>
      <c r="H43" s="749">
        <f>'Sensitivity Labels'!J75</f>
        <v>0</v>
      </c>
      <c r="I43" s="725" t="str">
        <f>'Sensitivity Labels'!K75</f>
        <v>Amber</v>
      </c>
      <c r="J43" s="301" t="str">
        <f>IF(OR(M43=TRUE,M44=TRUE),"Encryption",(IF(K43=TRUE,"Remove Encryption","No Encryption")))</f>
        <v>Encryption</v>
      </c>
      <c r="K43" s="302" t="b">
        <f>'Emails, Files, &amp; Other Data'!H108</f>
        <v>0</v>
      </c>
      <c r="L43" s="303" t="str">
        <f>L39</f>
        <v>Remove access control settings if already applied to items</v>
      </c>
      <c r="M43" s="302" t="b">
        <f>'Emails, Files, &amp; Other Data'!J108</f>
        <v>0</v>
      </c>
      <c r="N43" s="303" t="str">
        <f>N39</f>
        <v>Assign Permissions now</v>
      </c>
      <c r="O43" s="304" t="str">
        <f>O$11</f>
        <v>Access Control</v>
      </c>
      <c r="P43" s="697" t="str">
        <f>IF(E45=TRUE,"Yes","No")</f>
        <v>Yes</v>
      </c>
      <c r="Q43" s="721" t="str">
        <f>IF(OR('Groups &amp; Sites'!H85=INputs!AN$3,'Groups &amp; Sites'!H85=INputs!AN$4),"Yes","No")</f>
        <v>Yes</v>
      </c>
      <c r="R43" s="723" t="str">
        <f>R$11</f>
        <v>Privacy and external user access</v>
      </c>
      <c r="S43" s="725" t="str">
        <f>IF('Groups &amp; Sites'!K85=TRUE,"Yes","No")</f>
        <v>Yes</v>
      </c>
      <c r="T43" s="723" t="str">
        <f>T$11</f>
        <v>Content can be shared with</v>
      </c>
      <c r="U43" s="725" t="str">
        <f>IF('Groups &amp; Sites'!S86=TRUE,"Yes","No")</f>
        <v>No</v>
      </c>
      <c r="V43" s="735" t="str">
        <f>V$11</f>
        <v>Allow users to discover private teams that have this label applied.</v>
      </c>
    </row>
    <row r="44" spans="1:22" ht="14.45">
      <c r="A44" s="738"/>
      <c r="B44" s="749"/>
      <c r="C44" s="751"/>
      <c r="D44" s="744"/>
      <c r="E44" s="299" t="b">
        <f>'Sensitivity Labels'!F77</f>
        <v>1</v>
      </c>
      <c r="F44" s="300" t="str">
        <f>'Sensitivity Labels'!G77</f>
        <v>Emails</v>
      </c>
      <c r="G44" s="769"/>
      <c r="H44" s="749"/>
      <c r="I44" s="725"/>
      <c r="J44" s="305" t="str">
        <f>IF(OR('Emails, Files, &amp; Other Data'!X108=TRUE,'Emails, Files, &amp; Other Data'!X109=TRUE,'Emails, Files, &amp; Other Data'!X110=TRUE),"Yes","No")</f>
        <v>Yes</v>
      </c>
      <c r="K44" s="306"/>
      <c r="L44" s="306"/>
      <c r="M44" s="307" t="b">
        <f>'Emails, Files, &amp; Other Data'!J109</f>
        <v>1</v>
      </c>
      <c r="N44" s="306" t="str">
        <f>N40</f>
        <v>Let users assign permissions when they apply the label</v>
      </c>
      <c r="O44" s="308" t="str">
        <f>O$12</f>
        <v>Content Marking</v>
      </c>
      <c r="P44" s="697"/>
      <c r="Q44" s="722"/>
      <c r="R44" s="724"/>
      <c r="S44" s="726"/>
      <c r="T44" s="724"/>
      <c r="U44" s="726"/>
      <c r="V44" s="736"/>
    </row>
    <row r="45" spans="1:22" ht="14.45" customHeight="1">
      <c r="A45" s="738"/>
      <c r="B45" s="749"/>
      <c r="C45" s="751"/>
      <c r="D45" s="744"/>
      <c r="E45" s="299" t="b">
        <f>'Sensitivity Labels'!F79</f>
        <v>1</v>
      </c>
      <c r="F45" s="300" t="str">
        <f>'Sensitivity Labels'!G79</f>
        <v>Meetings</v>
      </c>
      <c r="G45" s="769"/>
      <c r="H45" s="749"/>
      <c r="I45" s="725"/>
      <c r="J45" s="699" t="str">
        <f>IF('Emails, Files, &amp; Other Data'!AB108=TRUE,"Yes","No")</f>
        <v>No</v>
      </c>
      <c r="K45" s="306"/>
      <c r="L45" s="306"/>
      <c r="M45" s="306"/>
      <c r="N45" s="306"/>
      <c r="O45" s="705" t="str">
        <f>O$13</f>
        <v>Auto-labeling for files and emails: "Client-side Auto-Labeling"</v>
      </c>
      <c r="P45" s="697"/>
      <c r="Q45" s="727" t="str">
        <f>IF('Groups &amp; Sites'!H87=TRUE,"Yes","No")</f>
        <v>Yes</v>
      </c>
      <c r="R45" s="728" t="str">
        <f>R$13</f>
        <v>Let Microsoft 365 Group owners add people outside your organization to the group as guests.</v>
      </c>
      <c r="S45" s="725" t="str">
        <f>IF('Groups &amp; Sites'!K86=TRUE,"Yes","No")</f>
        <v>Yes</v>
      </c>
      <c r="T45" s="729" t="str">
        <f>T$13</f>
        <v>Use Microsoft Entra Conditional Access to protect labeled SharePoint sites</v>
      </c>
      <c r="U45" s="730" t="str">
        <f>IF(OR('Groups &amp; Sites'!S88=TRUE,'Groups &amp; Sites'!S89=TRUE,'Groups &amp; Sites'!S90=TRUE),"Yes","No")</f>
        <v>No</v>
      </c>
      <c r="V45" s="731" t="str">
        <f>V$13</f>
        <v>Teams shared channels</v>
      </c>
    </row>
    <row r="46" spans="1:22" ht="15" thickBot="1">
      <c r="A46" s="739"/>
      <c r="B46" s="750"/>
      <c r="C46" s="752"/>
      <c r="D46" s="745"/>
      <c r="E46" s="309" t="b">
        <f>'Sensitivity Labels'!F81</f>
        <v>1</v>
      </c>
      <c r="F46" s="310" t="str">
        <f>'Sensitivity Labels'!G81</f>
        <v>Groups &amp; Sites</v>
      </c>
      <c r="G46" s="770"/>
      <c r="H46" s="750"/>
      <c r="I46" s="771"/>
      <c r="J46" s="700"/>
      <c r="K46" s="311"/>
      <c r="L46" s="311"/>
      <c r="M46" s="311"/>
      <c r="N46" s="311"/>
      <c r="O46" s="706"/>
      <c r="P46" s="698"/>
      <c r="Q46" s="721"/>
      <c r="R46" s="729"/>
      <c r="S46" s="725"/>
      <c r="T46" s="729"/>
      <c r="U46" s="725"/>
      <c r="V46" s="732"/>
    </row>
    <row r="47" spans="1:22" ht="14.45" customHeight="1">
      <c r="A47" s="741">
        <f>A43+1</f>
        <v>10</v>
      </c>
      <c r="B47" s="746" t="str">
        <f>'Sensitivity Labels'!C83</f>
        <v>Sub Label</v>
      </c>
      <c r="C47" s="753" t="str">
        <f>'Sensitivity Labels'!D83</f>
        <v>Internal exception</v>
      </c>
      <c r="D47" s="547" t="str">
        <f>'Sensitivity Labels'!E83</f>
        <v>Internal exception</v>
      </c>
      <c r="E47" s="52" t="b">
        <f>'Sensitivity Labels'!F83</f>
        <v>1</v>
      </c>
      <c r="F47" s="54" t="str">
        <f>'Sensitivity Labels'!G83</f>
        <v>Files &amp; Other Data assets</v>
      </c>
      <c r="G47" s="772" t="str">
        <f>'Sensitivity Labels'!I83</f>
        <v>Highly confidential data that doesn’t need to be encrypted. Use this option with care and appropriate business justification.</v>
      </c>
      <c r="H47" s="746">
        <f>'Sensitivity Labels'!J83</f>
        <v>0</v>
      </c>
      <c r="I47" s="775" t="str">
        <f>'Sensitivity Labels'!K83</f>
        <v>Amber</v>
      </c>
      <c r="J47" s="270" t="str">
        <f>IF(OR(M47=TRUE,M48=TRUE),"Encryption",(IF(K47=TRUE,"Remove Encryption","No Encryption")))</f>
        <v>No Encryption</v>
      </c>
      <c r="K47" s="265" t="b">
        <f>'Emails, Files, &amp; Other Data'!H120</f>
        <v>0</v>
      </c>
      <c r="L47" s="266" t="str">
        <f>L43</f>
        <v>Remove access control settings if already applied to items</v>
      </c>
      <c r="M47" s="265" t="b">
        <f>'Emails, Files, &amp; Other Data'!J120</f>
        <v>0</v>
      </c>
      <c r="N47" s="266" t="str">
        <f>N43</f>
        <v>Assign Permissions now</v>
      </c>
      <c r="O47" s="271" t="str">
        <f>O$11</f>
        <v>Access Control</v>
      </c>
      <c r="P47" s="694" t="str">
        <f>IF(E49=TRUE,"Yes","No")</f>
        <v>Yes</v>
      </c>
      <c r="Q47" s="707" t="str">
        <f>IF(OR('Groups &amp; Sites'!H94=INputs!AN$3,'Groups &amp; Sites'!H94=INputs!AN$4),"Yes","No")</f>
        <v>No</v>
      </c>
      <c r="R47" s="709" t="str">
        <f>R$11</f>
        <v>Privacy and external user access</v>
      </c>
      <c r="S47" s="711" t="str">
        <f>IF('Groups &amp; Sites'!K94=TRUE,"Yes","No")</f>
        <v>No</v>
      </c>
      <c r="T47" s="709" t="str">
        <f>T$11</f>
        <v>Content can be shared with</v>
      </c>
      <c r="U47" s="711" t="str">
        <f>IF('Groups &amp; Sites'!S95=TRUE,"Yes","No")</f>
        <v>No</v>
      </c>
      <c r="V47" s="733" t="str">
        <f>V$11</f>
        <v>Allow users to discover private teams that have this label applied.</v>
      </c>
    </row>
    <row r="48" spans="1:22" ht="14.45">
      <c r="A48" s="741"/>
      <c r="B48" s="747"/>
      <c r="C48" s="754"/>
      <c r="D48" s="548"/>
      <c r="E48" s="56" t="b">
        <f>'Sensitivity Labels'!F85</f>
        <v>1</v>
      </c>
      <c r="F48" t="str">
        <f>'Sensitivity Labels'!G85</f>
        <v>Emails</v>
      </c>
      <c r="G48" s="773"/>
      <c r="H48" s="747"/>
      <c r="I48" s="776"/>
      <c r="J48" s="272" t="str">
        <f>IF(OR('Emails, Files, &amp; Other Data'!X120=TRUE,'Emails, Files, &amp; Other Data'!X121=TRUE,'Emails, Files, &amp; Other Data'!X122=TRUE),"Yes","No")</f>
        <v>Yes</v>
      </c>
      <c r="K48" s="267"/>
      <c r="L48" s="267"/>
      <c r="M48" s="268" t="b">
        <f>'Emails, Files, &amp; Other Data'!J121</f>
        <v>0</v>
      </c>
      <c r="N48" s="267" t="str">
        <f>N44</f>
        <v>Let users assign permissions when they apply the label</v>
      </c>
      <c r="O48" s="273" t="str">
        <f>O$12</f>
        <v>Content Marking</v>
      </c>
      <c r="P48" s="695"/>
      <c r="Q48" s="708"/>
      <c r="R48" s="710"/>
      <c r="S48" s="712"/>
      <c r="T48" s="710"/>
      <c r="U48" s="712"/>
      <c r="V48" s="734"/>
    </row>
    <row r="49" spans="1:22" ht="14.45" customHeight="1">
      <c r="A49" s="741"/>
      <c r="B49" s="747"/>
      <c r="C49" s="754"/>
      <c r="D49" s="548"/>
      <c r="E49" s="56" t="b">
        <f>'Sensitivity Labels'!F87</f>
        <v>1</v>
      </c>
      <c r="F49" t="str">
        <f>'Sensitivity Labels'!G87</f>
        <v>Meetings</v>
      </c>
      <c r="G49" s="773"/>
      <c r="H49" s="747"/>
      <c r="I49" s="776"/>
      <c r="J49" s="692" t="str">
        <f>IF('Emails, Files, &amp; Other Data'!AB120=TRUE,"Yes","No")</f>
        <v>No</v>
      </c>
      <c r="K49" s="267"/>
      <c r="L49" s="267"/>
      <c r="M49" s="267"/>
      <c r="N49" s="267"/>
      <c r="O49" s="703" t="str">
        <f>O$13</f>
        <v>Auto-labeling for files and emails: "Client-side Auto-Labeling"</v>
      </c>
      <c r="P49" s="695"/>
      <c r="Q49" s="713" t="str">
        <f>IF('Groups &amp; Sites'!H96=TRUE,"Yes","No")</f>
        <v>No</v>
      </c>
      <c r="R49" s="715" t="str">
        <f>R$13</f>
        <v>Let Microsoft 365 Group owners add people outside your organization to the group as guests.</v>
      </c>
      <c r="S49" s="717" t="str">
        <f>IF('Groups &amp; Sites'!K95=TRUE,"Yes","No")</f>
        <v>No</v>
      </c>
      <c r="T49" s="719" t="str">
        <f>T$13</f>
        <v>Use Microsoft Entra Conditional Access to protect labeled SharePoint sites</v>
      </c>
      <c r="U49" s="720" t="str">
        <f>IF(OR('Groups &amp; Sites'!S97=TRUE,'Groups &amp; Sites'!S98=TRUE,'Groups &amp; Sites'!S99=TRUE),"Yes","No")</f>
        <v>No</v>
      </c>
      <c r="V49" s="701" t="str">
        <f>V$13</f>
        <v>Teams shared channels</v>
      </c>
    </row>
    <row r="50" spans="1:22" ht="15" thickBot="1">
      <c r="A50" s="741"/>
      <c r="B50" s="748"/>
      <c r="C50" s="755"/>
      <c r="D50" s="549"/>
      <c r="E50" s="61" t="b">
        <f>'Sensitivity Labels'!F89</f>
        <v>1</v>
      </c>
      <c r="F50" s="59" t="str">
        <f>'Sensitivity Labels'!G89</f>
        <v>Groups &amp; Sites</v>
      </c>
      <c r="G50" s="774"/>
      <c r="H50" s="748"/>
      <c r="I50" s="777"/>
      <c r="J50" s="693"/>
      <c r="K50" s="269"/>
      <c r="L50" s="269"/>
      <c r="M50" s="269"/>
      <c r="N50" s="269"/>
      <c r="O50" s="704"/>
      <c r="P50" s="696"/>
      <c r="Q50" s="714"/>
      <c r="R50" s="716"/>
      <c r="S50" s="718"/>
      <c r="T50" s="716"/>
      <c r="U50" s="718"/>
      <c r="V50" s="702"/>
    </row>
    <row r="51" spans="1:22" ht="14.45" customHeight="1">
      <c r="A51" s="737">
        <f>A47+1</f>
        <v>11</v>
      </c>
      <c r="B51" s="749">
        <f>'Sensitivity Labels'!C91</f>
        <v>0</v>
      </c>
      <c r="C51" s="751">
        <f>'Sensitivity Labels'!D91</f>
        <v>0</v>
      </c>
      <c r="D51" s="743">
        <f>'Sensitivity Labels'!E91</f>
        <v>0</v>
      </c>
      <c r="E51" s="299" t="b">
        <f>'Sensitivity Labels'!F91</f>
        <v>0</v>
      </c>
      <c r="F51" s="300" t="str">
        <f>'Sensitivity Labels'!G91</f>
        <v>Files &amp; Other Data assets</v>
      </c>
      <c r="G51" s="769">
        <f>'Sensitivity Labels'!I91</f>
        <v>0</v>
      </c>
      <c r="H51" s="749">
        <f>'Sensitivity Labels'!J91</f>
        <v>0</v>
      </c>
      <c r="I51" s="725">
        <f>'Sensitivity Labels'!K91</f>
        <v>0</v>
      </c>
      <c r="J51" s="301" t="str">
        <f>IF(OR(M51=TRUE,M52=TRUE),"Encryption",(IF(K51=TRUE,"Remove Encryption","No Encryption")))</f>
        <v>No Encryption</v>
      </c>
      <c r="K51" s="302" t="b">
        <f>'Emails, Files, &amp; Other Data'!H132</f>
        <v>0</v>
      </c>
      <c r="L51" s="303" t="str">
        <f>L47</f>
        <v>Remove access control settings if already applied to items</v>
      </c>
      <c r="M51" s="302" t="b">
        <f>'Emails, Files, &amp; Other Data'!J132</f>
        <v>0</v>
      </c>
      <c r="N51" s="303" t="str">
        <f>N47</f>
        <v>Assign Permissions now</v>
      </c>
      <c r="O51" s="304" t="str">
        <f>O$11</f>
        <v>Access Control</v>
      </c>
      <c r="P51" s="697" t="str">
        <f>IF(E53=TRUE,"Yes","No")</f>
        <v>No</v>
      </c>
      <c r="Q51" s="721" t="str">
        <f>IF(OR('Groups &amp; Sites'!H103=INputs!AN$3,'Groups &amp; Sites'!H103=INputs!AN$4),"Yes","No")</f>
        <v>No</v>
      </c>
      <c r="R51" s="723" t="str">
        <f>R$11</f>
        <v>Privacy and external user access</v>
      </c>
      <c r="S51" s="725" t="str">
        <f>IF('Groups &amp; Sites'!K103=TRUE,"Yes","No")</f>
        <v>No</v>
      </c>
      <c r="T51" s="723" t="str">
        <f>T$11</f>
        <v>Content can be shared with</v>
      </c>
      <c r="U51" s="725" t="str">
        <f>IF('Groups &amp; Sites'!S104=TRUE,"Yes","No")</f>
        <v>No</v>
      </c>
      <c r="V51" s="735" t="str">
        <f>V$11</f>
        <v>Allow users to discover private teams that have this label applied.</v>
      </c>
    </row>
    <row r="52" spans="1:22" ht="14.45">
      <c r="A52" s="738"/>
      <c r="B52" s="749"/>
      <c r="C52" s="751"/>
      <c r="D52" s="744"/>
      <c r="E52" s="299" t="b">
        <f>'Sensitivity Labels'!F93</f>
        <v>0</v>
      </c>
      <c r="F52" s="300" t="str">
        <f>'Sensitivity Labels'!G93</f>
        <v>Emails</v>
      </c>
      <c r="G52" s="769"/>
      <c r="H52" s="749"/>
      <c r="I52" s="725"/>
      <c r="J52" s="305" t="str">
        <f>IF(OR('Emails, Files, &amp; Other Data'!X132=TRUE,'Emails, Files, &amp; Other Data'!X133=TRUE,'Emails, Files, &amp; Other Data'!X134=TRUE),"Yes","No")</f>
        <v>No</v>
      </c>
      <c r="K52" s="306"/>
      <c r="L52" s="306"/>
      <c r="M52" s="307" t="b">
        <f>'Emails, Files, &amp; Other Data'!J133</f>
        <v>0</v>
      </c>
      <c r="N52" s="306" t="str">
        <f>N48</f>
        <v>Let users assign permissions when they apply the label</v>
      </c>
      <c r="O52" s="308" t="str">
        <f>O$12</f>
        <v>Content Marking</v>
      </c>
      <c r="P52" s="697"/>
      <c r="Q52" s="722"/>
      <c r="R52" s="724"/>
      <c r="S52" s="726"/>
      <c r="T52" s="724"/>
      <c r="U52" s="726"/>
      <c r="V52" s="736"/>
    </row>
    <row r="53" spans="1:22" ht="14.45" customHeight="1">
      <c r="A53" s="738"/>
      <c r="B53" s="749"/>
      <c r="C53" s="751"/>
      <c r="D53" s="744"/>
      <c r="E53" s="299" t="b">
        <f>'Sensitivity Labels'!F95</f>
        <v>0</v>
      </c>
      <c r="F53" s="300" t="str">
        <f>'Sensitivity Labels'!G95</f>
        <v>Meetings</v>
      </c>
      <c r="G53" s="769"/>
      <c r="H53" s="749"/>
      <c r="I53" s="725"/>
      <c r="J53" s="699" t="str">
        <f>IF('Emails, Files, &amp; Other Data'!AB132=TRUE,"Yes","No")</f>
        <v>No</v>
      </c>
      <c r="K53" s="306"/>
      <c r="L53" s="306"/>
      <c r="M53" s="306"/>
      <c r="N53" s="306"/>
      <c r="O53" s="705" t="str">
        <f>O$13</f>
        <v>Auto-labeling for files and emails: "Client-side Auto-Labeling"</v>
      </c>
      <c r="P53" s="697"/>
      <c r="Q53" s="727" t="str">
        <f>IF('Groups &amp; Sites'!H105=TRUE,"Yes","No")</f>
        <v>No</v>
      </c>
      <c r="R53" s="728" t="str">
        <f>R$13</f>
        <v>Let Microsoft 365 Group owners add people outside your organization to the group as guests.</v>
      </c>
      <c r="S53" s="725" t="str">
        <f>IF('Groups &amp; Sites'!K104=TRUE,"Yes","No")</f>
        <v>No</v>
      </c>
      <c r="T53" s="729" t="str">
        <f>T$13</f>
        <v>Use Microsoft Entra Conditional Access to protect labeled SharePoint sites</v>
      </c>
      <c r="U53" s="730" t="str">
        <f>IF(OR('Groups &amp; Sites'!S106=TRUE,'Groups &amp; Sites'!S107=TRUE,'Groups &amp; Sites'!S108=TRUE),"Yes","No")</f>
        <v>No</v>
      </c>
      <c r="V53" s="731" t="str">
        <f>V$13</f>
        <v>Teams shared channels</v>
      </c>
    </row>
    <row r="54" spans="1:22" ht="15" thickBot="1">
      <c r="A54" s="739"/>
      <c r="B54" s="750"/>
      <c r="C54" s="752"/>
      <c r="D54" s="745"/>
      <c r="E54" s="309" t="b">
        <f>'Sensitivity Labels'!F97</f>
        <v>0</v>
      </c>
      <c r="F54" s="310" t="str">
        <f>'Sensitivity Labels'!G97</f>
        <v>Groups &amp; Sites</v>
      </c>
      <c r="G54" s="770"/>
      <c r="H54" s="750"/>
      <c r="I54" s="771"/>
      <c r="J54" s="700"/>
      <c r="K54" s="311"/>
      <c r="L54" s="311"/>
      <c r="M54" s="311"/>
      <c r="N54" s="311"/>
      <c r="O54" s="706"/>
      <c r="P54" s="698"/>
      <c r="Q54" s="721"/>
      <c r="R54" s="729"/>
      <c r="S54" s="725"/>
      <c r="T54" s="729"/>
      <c r="U54" s="725"/>
      <c r="V54" s="732"/>
    </row>
    <row r="55" spans="1:22" ht="14.45" customHeight="1">
      <c r="A55" s="741">
        <f>A51+1</f>
        <v>12</v>
      </c>
      <c r="B55" s="746">
        <f>'Sensitivity Labels'!C99</f>
        <v>0</v>
      </c>
      <c r="C55" s="753">
        <f>'Sensitivity Labels'!D99</f>
        <v>0</v>
      </c>
      <c r="D55" s="547">
        <f>'Sensitivity Labels'!E99</f>
        <v>0</v>
      </c>
      <c r="E55" s="52" t="b">
        <f>'Sensitivity Labels'!F99</f>
        <v>0</v>
      </c>
      <c r="F55" s="54" t="str">
        <f>'Sensitivity Labels'!G99</f>
        <v>Files &amp; Other Data assets</v>
      </c>
      <c r="G55" s="772">
        <f>'Sensitivity Labels'!I99</f>
        <v>0</v>
      </c>
      <c r="H55" s="746">
        <f>'Sensitivity Labels'!J99</f>
        <v>0</v>
      </c>
      <c r="I55" s="775">
        <f>'Sensitivity Labels'!K99</f>
        <v>0</v>
      </c>
      <c r="J55" s="270" t="str">
        <f>IF(OR(M55=TRUE,M56=TRUE),"Encryption",(IF(K55=TRUE,"Remove Encryption","No Encryption")))</f>
        <v>No Encryption</v>
      </c>
      <c r="K55" s="265" t="b">
        <f>'Emails, Files, &amp; Other Data'!H144</f>
        <v>0</v>
      </c>
      <c r="L55" s="266" t="str">
        <f>L51</f>
        <v>Remove access control settings if already applied to items</v>
      </c>
      <c r="M55" s="265" t="b">
        <f>'Emails, Files, &amp; Other Data'!J144</f>
        <v>0</v>
      </c>
      <c r="N55" s="266" t="str">
        <f>N51</f>
        <v>Assign Permissions now</v>
      </c>
      <c r="O55" s="271" t="str">
        <f>O$11</f>
        <v>Access Control</v>
      </c>
      <c r="P55" s="694" t="str">
        <f>IF(E57=TRUE,"Yes","No")</f>
        <v>No</v>
      </c>
      <c r="Q55" s="707" t="str">
        <f>IF(OR('Groups &amp; Sites'!H112=INputs!AN$3,'Groups &amp; Sites'!H112=INputs!AN$4),"Yes","No")</f>
        <v>No</v>
      </c>
      <c r="R55" s="709" t="str">
        <f>R$11</f>
        <v>Privacy and external user access</v>
      </c>
      <c r="S55" s="711" t="str">
        <f>IF('Groups &amp; Sites'!K112=TRUE,"Yes","No")</f>
        <v>No</v>
      </c>
      <c r="T55" s="709" t="str">
        <f>T$11</f>
        <v>Content can be shared with</v>
      </c>
      <c r="U55" s="711" t="str">
        <f>IF('Groups &amp; Sites'!S113=TRUE,"Yes","No")</f>
        <v>No</v>
      </c>
      <c r="V55" s="733" t="str">
        <f>V$11</f>
        <v>Allow users to discover private teams that have this label applied.</v>
      </c>
    </row>
    <row r="56" spans="1:22" ht="14.45">
      <c r="A56" s="741"/>
      <c r="B56" s="747"/>
      <c r="C56" s="754"/>
      <c r="D56" s="548"/>
      <c r="E56" s="56" t="b">
        <f>'Sensitivity Labels'!F101</f>
        <v>0</v>
      </c>
      <c r="F56" t="str">
        <f>'Sensitivity Labels'!G101</f>
        <v>Emails</v>
      </c>
      <c r="G56" s="773"/>
      <c r="H56" s="747"/>
      <c r="I56" s="776"/>
      <c r="J56" s="272" t="str">
        <f>IF(OR('Emails, Files, &amp; Other Data'!X144=TRUE,'Emails, Files, &amp; Other Data'!X145=TRUE,'Emails, Files, &amp; Other Data'!X146=TRUE),"Yes","No")</f>
        <v>No</v>
      </c>
      <c r="K56" s="267"/>
      <c r="L56" s="267"/>
      <c r="M56" s="268" t="b">
        <f>'Emails, Files, &amp; Other Data'!J145</f>
        <v>0</v>
      </c>
      <c r="N56" s="267" t="str">
        <f>N52</f>
        <v>Let users assign permissions when they apply the label</v>
      </c>
      <c r="O56" s="273" t="str">
        <f>O$12</f>
        <v>Content Marking</v>
      </c>
      <c r="P56" s="695"/>
      <c r="Q56" s="708"/>
      <c r="R56" s="710"/>
      <c r="S56" s="712"/>
      <c r="T56" s="710"/>
      <c r="U56" s="712"/>
      <c r="V56" s="734"/>
    </row>
    <row r="57" spans="1:22" ht="14.45" customHeight="1">
      <c r="A57" s="741"/>
      <c r="B57" s="747"/>
      <c r="C57" s="754"/>
      <c r="D57" s="548"/>
      <c r="E57" s="56" t="b">
        <f>'Sensitivity Labels'!F103</f>
        <v>0</v>
      </c>
      <c r="F57" t="str">
        <f>'Sensitivity Labels'!G103</f>
        <v>Meetings</v>
      </c>
      <c r="G57" s="773"/>
      <c r="H57" s="747"/>
      <c r="I57" s="776"/>
      <c r="J57" s="692" t="str">
        <f>IF('Emails, Files, &amp; Other Data'!AB144=TRUE,"Yes","No")</f>
        <v>No</v>
      </c>
      <c r="K57" s="267"/>
      <c r="L57" s="267"/>
      <c r="M57" s="267"/>
      <c r="N57" s="267"/>
      <c r="O57" s="703" t="str">
        <f>O$13</f>
        <v>Auto-labeling for files and emails: "Client-side Auto-Labeling"</v>
      </c>
      <c r="P57" s="695"/>
      <c r="Q57" s="713" t="str">
        <f>IF('Groups &amp; Sites'!H114=TRUE,"Yes","No")</f>
        <v>No</v>
      </c>
      <c r="R57" s="715" t="str">
        <f>R$13</f>
        <v>Let Microsoft 365 Group owners add people outside your organization to the group as guests.</v>
      </c>
      <c r="S57" s="717" t="str">
        <f>IF('Groups &amp; Sites'!K113=TRUE,"Yes","No")</f>
        <v>No</v>
      </c>
      <c r="T57" s="719" t="str">
        <f>T$13</f>
        <v>Use Microsoft Entra Conditional Access to protect labeled SharePoint sites</v>
      </c>
      <c r="U57" s="720" t="str">
        <f>IF(OR('Groups &amp; Sites'!S115=TRUE,'Groups &amp; Sites'!S116=TRUE,'Groups &amp; Sites'!S117=TRUE),"Yes","No")</f>
        <v>No</v>
      </c>
      <c r="V57" s="701" t="str">
        <f>V$13</f>
        <v>Teams shared channels</v>
      </c>
    </row>
    <row r="58" spans="1:22" ht="15" thickBot="1">
      <c r="A58" s="741"/>
      <c r="B58" s="748"/>
      <c r="C58" s="755"/>
      <c r="D58" s="549"/>
      <c r="E58" s="61" t="b">
        <f>'Sensitivity Labels'!F105</f>
        <v>0</v>
      </c>
      <c r="F58" s="59" t="str">
        <f>'Sensitivity Labels'!G105</f>
        <v>Groups &amp; Sites</v>
      </c>
      <c r="G58" s="774"/>
      <c r="H58" s="748"/>
      <c r="I58" s="777"/>
      <c r="J58" s="693"/>
      <c r="K58" s="269"/>
      <c r="L58" s="269"/>
      <c r="M58" s="269"/>
      <c r="N58" s="269"/>
      <c r="O58" s="704"/>
      <c r="P58" s="696"/>
      <c r="Q58" s="714"/>
      <c r="R58" s="716"/>
      <c r="S58" s="718"/>
      <c r="T58" s="716"/>
      <c r="U58" s="718"/>
      <c r="V58" s="702"/>
    </row>
    <row r="59" spans="1:22" ht="14.45" customHeight="1">
      <c r="A59" s="737">
        <f>A55+1</f>
        <v>13</v>
      </c>
      <c r="B59" s="749">
        <f>'Sensitivity Labels'!C107</f>
        <v>0</v>
      </c>
      <c r="C59" s="751">
        <f>'Sensitivity Labels'!D107</f>
        <v>0</v>
      </c>
      <c r="D59" s="743">
        <f>'Sensitivity Labels'!E107</f>
        <v>0</v>
      </c>
      <c r="E59" s="299" t="b">
        <f>'Sensitivity Labels'!F107</f>
        <v>0</v>
      </c>
      <c r="F59" s="300" t="str">
        <f>'Sensitivity Labels'!G107</f>
        <v>Files &amp; Other Data assets</v>
      </c>
      <c r="G59" s="769">
        <f>'Sensitivity Labels'!I107</f>
        <v>0</v>
      </c>
      <c r="H59" s="749">
        <f>'Sensitivity Labels'!J107</f>
        <v>0</v>
      </c>
      <c r="I59" s="725">
        <f>'Sensitivity Labels'!K107</f>
        <v>0</v>
      </c>
      <c r="J59" s="301" t="str">
        <f>IF(OR(M59=TRUE,M60=TRUE),"Encryption",(IF(K59=TRUE,"Remove Encryption","No Encryption")))</f>
        <v>No Encryption</v>
      </c>
      <c r="K59" s="302" t="b">
        <f>'Emails, Files, &amp; Other Data'!H156</f>
        <v>0</v>
      </c>
      <c r="L59" s="303" t="str">
        <f>L55</f>
        <v>Remove access control settings if already applied to items</v>
      </c>
      <c r="M59" s="302" t="b">
        <f>'Emails, Files, &amp; Other Data'!J156</f>
        <v>0</v>
      </c>
      <c r="N59" s="303" t="str">
        <f>N55</f>
        <v>Assign Permissions now</v>
      </c>
      <c r="O59" s="304" t="str">
        <f>O$11</f>
        <v>Access Control</v>
      </c>
      <c r="P59" s="697" t="str">
        <f>IF(E61=TRUE,"Yes","No")</f>
        <v>No</v>
      </c>
      <c r="Q59" s="721" t="str">
        <f>IF(OR('Groups &amp; Sites'!H121=INputs!AN$3,'Groups &amp; Sites'!H121=INputs!AN$4),"Yes","No")</f>
        <v>No</v>
      </c>
      <c r="R59" s="723" t="str">
        <f>R$11</f>
        <v>Privacy and external user access</v>
      </c>
      <c r="S59" s="725" t="str">
        <f>IF('Groups &amp; Sites'!K121=TRUE,"Yes","No")</f>
        <v>No</v>
      </c>
      <c r="T59" s="723" t="str">
        <f>T$11</f>
        <v>Content can be shared with</v>
      </c>
      <c r="U59" s="725" t="str">
        <f>IF('Groups &amp; Sites'!S122=TRUE,"Yes","No")</f>
        <v>No</v>
      </c>
      <c r="V59" s="735" t="str">
        <f>V$11</f>
        <v>Allow users to discover private teams that have this label applied.</v>
      </c>
    </row>
    <row r="60" spans="1:22" ht="14.45">
      <c r="A60" s="738"/>
      <c r="B60" s="749"/>
      <c r="C60" s="751"/>
      <c r="D60" s="744"/>
      <c r="E60" s="299" t="b">
        <f>'Sensitivity Labels'!F109</f>
        <v>0</v>
      </c>
      <c r="F60" s="300" t="str">
        <f>'Sensitivity Labels'!G109</f>
        <v>Emails</v>
      </c>
      <c r="G60" s="769"/>
      <c r="H60" s="749"/>
      <c r="I60" s="725"/>
      <c r="J60" s="305" t="str">
        <f>IF(OR('Emails, Files, &amp; Other Data'!X156=TRUE,'Emails, Files, &amp; Other Data'!X157=TRUE,'Emails, Files, &amp; Other Data'!X158=TRUE),"Yes","No")</f>
        <v>No</v>
      </c>
      <c r="K60" s="306"/>
      <c r="L60" s="306"/>
      <c r="M60" s="307" t="b">
        <f>'Emails, Files, &amp; Other Data'!J157</f>
        <v>0</v>
      </c>
      <c r="N60" s="306" t="str">
        <f>N56</f>
        <v>Let users assign permissions when they apply the label</v>
      </c>
      <c r="O60" s="308" t="str">
        <f>O$12</f>
        <v>Content Marking</v>
      </c>
      <c r="P60" s="697"/>
      <c r="Q60" s="722"/>
      <c r="R60" s="724"/>
      <c r="S60" s="726"/>
      <c r="T60" s="724"/>
      <c r="U60" s="726"/>
      <c r="V60" s="736"/>
    </row>
    <row r="61" spans="1:22" ht="14.45" customHeight="1">
      <c r="A61" s="738"/>
      <c r="B61" s="749"/>
      <c r="C61" s="751"/>
      <c r="D61" s="744"/>
      <c r="E61" s="299" t="b">
        <f>'Sensitivity Labels'!F111</f>
        <v>0</v>
      </c>
      <c r="F61" s="300" t="str">
        <f>'Sensitivity Labels'!G111</f>
        <v>Meetings</v>
      </c>
      <c r="G61" s="769"/>
      <c r="H61" s="749"/>
      <c r="I61" s="725"/>
      <c r="J61" s="699" t="str">
        <f>IF('Emails, Files, &amp; Other Data'!AB156=TRUE,"Yes","No")</f>
        <v>No</v>
      </c>
      <c r="K61" s="306"/>
      <c r="L61" s="306"/>
      <c r="M61" s="306"/>
      <c r="N61" s="306"/>
      <c r="O61" s="705" t="str">
        <f>O$13</f>
        <v>Auto-labeling for files and emails: "Client-side Auto-Labeling"</v>
      </c>
      <c r="P61" s="697"/>
      <c r="Q61" s="727" t="str">
        <f>IF('Groups &amp; Sites'!H123=TRUE,"Yes","No")</f>
        <v>No</v>
      </c>
      <c r="R61" s="728" t="str">
        <f>R$13</f>
        <v>Let Microsoft 365 Group owners add people outside your organization to the group as guests.</v>
      </c>
      <c r="S61" s="725" t="str">
        <f>IF('Groups &amp; Sites'!K122=TRUE,"Yes","No")</f>
        <v>No</v>
      </c>
      <c r="T61" s="729" t="str">
        <f>T$13</f>
        <v>Use Microsoft Entra Conditional Access to protect labeled SharePoint sites</v>
      </c>
      <c r="U61" s="730" t="str">
        <f>IF(OR('Groups &amp; Sites'!S124=TRUE,'Groups &amp; Sites'!S125=TRUE,'Groups &amp; Sites'!S126=TRUE),"Yes","No")</f>
        <v>No</v>
      </c>
      <c r="V61" s="731" t="str">
        <f>V$13</f>
        <v>Teams shared channels</v>
      </c>
    </row>
    <row r="62" spans="1:22" ht="15" thickBot="1">
      <c r="A62" s="739"/>
      <c r="B62" s="750"/>
      <c r="C62" s="752"/>
      <c r="D62" s="745"/>
      <c r="E62" s="309" t="b">
        <f>'Sensitivity Labels'!F113</f>
        <v>0</v>
      </c>
      <c r="F62" s="310" t="str">
        <f>'Sensitivity Labels'!G113</f>
        <v>Groups &amp; Sites</v>
      </c>
      <c r="G62" s="770"/>
      <c r="H62" s="750"/>
      <c r="I62" s="771"/>
      <c r="J62" s="700"/>
      <c r="K62" s="311"/>
      <c r="L62" s="311"/>
      <c r="M62" s="311"/>
      <c r="N62" s="311"/>
      <c r="O62" s="706"/>
      <c r="P62" s="698"/>
      <c r="Q62" s="721"/>
      <c r="R62" s="729"/>
      <c r="S62" s="725"/>
      <c r="T62" s="729"/>
      <c r="U62" s="725"/>
      <c r="V62" s="732"/>
    </row>
    <row r="63" spans="1:22" ht="14.45" customHeight="1">
      <c r="A63" s="741">
        <f>A59+1</f>
        <v>14</v>
      </c>
      <c r="B63" s="746">
        <f>'Sensitivity Labels'!C115</f>
        <v>0</v>
      </c>
      <c r="C63" s="753">
        <f>'Sensitivity Labels'!D115</f>
        <v>0</v>
      </c>
      <c r="D63" s="547">
        <f>'Sensitivity Labels'!E115</f>
        <v>0</v>
      </c>
      <c r="E63" s="52" t="b">
        <f>'Sensitivity Labels'!F115</f>
        <v>0</v>
      </c>
      <c r="F63" s="54" t="str">
        <f>'Sensitivity Labels'!G115</f>
        <v>Files &amp; Other Data assets</v>
      </c>
      <c r="G63" s="772">
        <f>'Sensitivity Labels'!I115</f>
        <v>0</v>
      </c>
      <c r="H63" s="746">
        <f>'Sensitivity Labels'!J115</f>
        <v>0</v>
      </c>
      <c r="I63" s="775">
        <f>'Sensitivity Labels'!K115</f>
        <v>0</v>
      </c>
      <c r="J63" s="270" t="str">
        <f>IF(OR(M63=TRUE,M64=TRUE),"Encryption",(IF(K63=TRUE,"Remove Encryption","No Encryption")))</f>
        <v>No Encryption</v>
      </c>
      <c r="K63" s="265" t="b">
        <f>'Emails, Files, &amp; Other Data'!H168</f>
        <v>0</v>
      </c>
      <c r="L63" s="266" t="str">
        <f>L59</f>
        <v>Remove access control settings if already applied to items</v>
      </c>
      <c r="M63" s="265" t="b">
        <f>'Emails, Files, &amp; Other Data'!J168</f>
        <v>0</v>
      </c>
      <c r="N63" s="266" t="str">
        <f>N59</f>
        <v>Assign Permissions now</v>
      </c>
      <c r="O63" s="271" t="str">
        <f>O$11</f>
        <v>Access Control</v>
      </c>
      <c r="P63" s="694" t="str">
        <f>IF(E65=TRUE,"Yes","No")</f>
        <v>No</v>
      </c>
      <c r="Q63" s="707" t="str">
        <f>IF(OR('Groups &amp; Sites'!H130=INputs!AN$3,'Groups &amp; Sites'!H130=INputs!AN$4),"Yes","No")</f>
        <v>No</v>
      </c>
      <c r="R63" s="709" t="str">
        <f>R$11</f>
        <v>Privacy and external user access</v>
      </c>
      <c r="S63" s="711" t="str">
        <f>IF('Groups &amp; Sites'!K130=TRUE,"Yes","No")</f>
        <v>No</v>
      </c>
      <c r="T63" s="709" t="str">
        <f>T$11</f>
        <v>Content can be shared with</v>
      </c>
      <c r="U63" s="711" t="str">
        <f>IF('Groups &amp; Sites'!S131=TRUE,"Yes","No")</f>
        <v>No</v>
      </c>
      <c r="V63" s="733" t="str">
        <f>V$11</f>
        <v>Allow users to discover private teams that have this label applied.</v>
      </c>
    </row>
    <row r="64" spans="1:22" ht="14.45">
      <c r="A64" s="741"/>
      <c r="B64" s="747"/>
      <c r="C64" s="754"/>
      <c r="D64" s="548"/>
      <c r="E64" s="56" t="b">
        <f>'Sensitivity Labels'!F117</f>
        <v>0</v>
      </c>
      <c r="F64" t="str">
        <f>'Sensitivity Labels'!G117</f>
        <v>Emails</v>
      </c>
      <c r="G64" s="773"/>
      <c r="H64" s="747"/>
      <c r="I64" s="776"/>
      <c r="J64" s="272" t="str">
        <f>IF(OR('Emails, Files, &amp; Other Data'!X168=TRUE,'Emails, Files, &amp; Other Data'!X169=TRUE,'Emails, Files, &amp; Other Data'!X170=TRUE),"Yes","No")</f>
        <v>No</v>
      </c>
      <c r="K64" s="267"/>
      <c r="L64" s="267"/>
      <c r="M64" s="268" t="b">
        <f>'Emails, Files, &amp; Other Data'!J169</f>
        <v>0</v>
      </c>
      <c r="N64" s="267" t="str">
        <f>N60</f>
        <v>Let users assign permissions when they apply the label</v>
      </c>
      <c r="O64" s="273" t="str">
        <f>O$12</f>
        <v>Content Marking</v>
      </c>
      <c r="P64" s="695"/>
      <c r="Q64" s="708"/>
      <c r="R64" s="710"/>
      <c r="S64" s="712"/>
      <c r="T64" s="710"/>
      <c r="U64" s="712"/>
      <c r="V64" s="734"/>
    </row>
    <row r="65" spans="1:22" ht="14.45" customHeight="1">
      <c r="A65" s="741"/>
      <c r="B65" s="747"/>
      <c r="C65" s="754"/>
      <c r="D65" s="548"/>
      <c r="E65" s="56" t="b">
        <f>'Sensitivity Labels'!F119</f>
        <v>0</v>
      </c>
      <c r="F65" t="str">
        <f>'Sensitivity Labels'!G119</f>
        <v>Meetings</v>
      </c>
      <c r="G65" s="773"/>
      <c r="H65" s="747"/>
      <c r="I65" s="776"/>
      <c r="J65" s="692" t="str">
        <f>IF('Emails, Files, &amp; Other Data'!AB168=TRUE,"Yes","No")</f>
        <v>No</v>
      </c>
      <c r="K65" s="267"/>
      <c r="L65" s="267"/>
      <c r="M65" s="267"/>
      <c r="N65" s="267"/>
      <c r="O65" s="703" t="str">
        <f>O$13</f>
        <v>Auto-labeling for files and emails: "Client-side Auto-Labeling"</v>
      </c>
      <c r="P65" s="695"/>
      <c r="Q65" s="713" t="str">
        <f>IF('Groups &amp; Sites'!H132=TRUE,"Yes","No")</f>
        <v>No</v>
      </c>
      <c r="R65" s="715" t="str">
        <f>R$13</f>
        <v>Let Microsoft 365 Group owners add people outside your organization to the group as guests.</v>
      </c>
      <c r="S65" s="717" t="str">
        <f>IF('Groups &amp; Sites'!K131=TRUE,"Yes","No")</f>
        <v>No</v>
      </c>
      <c r="T65" s="719" t="str">
        <f>T$13</f>
        <v>Use Microsoft Entra Conditional Access to protect labeled SharePoint sites</v>
      </c>
      <c r="U65" s="720" t="str">
        <f>IF(OR('Groups &amp; Sites'!S133=TRUE,'Groups &amp; Sites'!S134=TRUE,'Groups &amp; Sites'!S135=TRUE),"Yes","No")</f>
        <v>No</v>
      </c>
      <c r="V65" s="701" t="str">
        <f>V$13</f>
        <v>Teams shared channels</v>
      </c>
    </row>
    <row r="66" spans="1:22" ht="15" thickBot="1">
      <c r="A66" s="741"/>
      <c r="B66" s="748"/>
      <c r="C66" s="755"/>
      <c r="D66" s="549"/>
      <c r="E66" s="61" t="b">
        <f>'Sensitivity Labels'!F121</f>
        <v>0</v>
      </c>
      <c r="F66" s="59" t="str">
        <f>'Sensitivity Labels'!G121</f>
        <v>Groups &amp; Sites</v>
      </c>
      <c r="G66" s="774"/>
      <c r="H66" s="748"/>
      <c r="I66" s="777"/>
      <c r="J66" s="693"/>
      <c r="K66" s="269"/>
      <c r="L66" s="269"/>
      <c r="M66" s="269"/>
      <c r="N66" s="269"/>
      <c r="O66" s="704"/>
      <c r="P66" s="696"/>
      <c r="Q66" s="714"/>
      <c r="R66" s="716"/>
      <c r="S66" s="718"/>
      <c r="T66" s="716"/>
      <c r="U66" s="718"/>
      <c r="V66" s="702"/>
    </row>
    <row r="67" spans="1:22" ht="14.45" customHeight="1">
      <c r="A67" s="737">
        <f>A63+1</f>
        <v>15</v>
      </c>
      <c r="B67" s="749">
        <f>'Sensitivity Labels'!C123</f>
        <v>0</v>
      </c>
      <c r="C67" s="751">
        <f>'Sensitivity Labels'!D123</f>
        <v>0</v>
      </c>
      <c r="D67" s="743">
        <f>'Sensitivity Labels'!E123</f>
        <v>0</v>
      </c>
      <c r="E67" s="299" t="b">
        <f>'Sensitivity Labels'!F123</f>
        <v>0</v>
      </c>
      <c r="F67" s="300" t="str">
        <f>'Sensitivity Labels'!G123</f>
        <v>Files &amp; Other Data assets</v>
      </c>
      <c r="G67" s="769">
        <f>'Sensitivity Labels'!I123</f>
        <v>0</v>
      </c>
      <c r="H67" s="749">
        <f>'Sensitivity Labels'!J123</f>
        <v>0</v>
      </c>
      <c r="I67" s="725">
        <f>'Sensitivity Labels'!K123</f>
        <v>0</v>
      </c>
      <c r="J67" s="301" t="str">
        <f>IF(OR(M67=TRUE,M68=TRUE),"Encryption",(IF(K67=TRUE,"Remove Encryption","No Encryption")))</f>
        <v>No Encryption</v>
      </c>
      <c r="K67" s="302" t="b">
        <f>'Emails, Files, &amp; Other Data'!H180</f>
        <v>0</v>
      </c>
      <c r="L67" s="303" t="str">
        <f>L63</f>
        <v>Remove access control settings if already applied to items</v>
      </c>
      <c r="M67" s="302" t="b">
        <f>'Emails, Files, &amp; Other Data'!J180</f>
        <v>0</v>
      </c>
      <c r="N67" s="303" t="str">
        <f>N63</f>
        <v>Assign Permissions now</v>
      </c>
      <c r="O67" s="304" t="str">
        <f>O$11</f>
        <v>Access Control</v>
      </c>
      <c r="P67" s="697" t="str">
        <f>IF(E69=TRUE,"Yes","No")</f>
        <v>No</v>
      </c>
      <c r="Q67" s="721" t="str">
        <f>IF(OR('Groups &amp; Sites'!H139=INputs!AN$3,'Groups &amp; Sites'!H139=INputs!AN$4),"Yes","No")</f>
        <v>No</v>
      </c>
      <c r="R67" s="723" t="str">
        <f>R$11</f>
        <v>Privacy and external user access</v>
      </c>
      <c r="S67" s="725" t="str">
        <f>IF('Groups &amp; Sites'!K139=TRUE,"Yes","No")</f>
        <v>No</v>
      </c>
      <c r="T67" s="723" t="str">
        <f>T$11</f>
        <v>Content can be shared with</v>
      </c>
      <c r="U67" s="725" t="str">
        <f>IF('Groups &amp; Sites'!S140=TRUE,"Yes","No")</f>
        <v>No</v>
      </c>
      <c r="V67" s="735" t="str">
        <f>V$11</f>
        <v>Allow users to discover private teams that have this label applied.</v>
      </c>
    </row>
    <row r="68" spans="1:22" ht="14.45">
      <c r="A68" s="738"/>
      <c r="B68" s="749"/>
      <c r="C68" s="751"/>
      <c r="D68" s="744"/>
      <c r="E68" s="299" t="b">
        <f>'Sensitivity Labels'!F125</f>
        <v>0</v>
      </c>
      <c r="F68" s="300" t="str">
        <f>'Sensitivity Labels'!G125</f>
        <v>Emails</v>
      </c>
      <c r="G68" s="769"/>
      <c r="H68" s="749"/>
      <c r="I68" s="725"/>
      <c r="J68" s="305" t="str">
        <f>IF(OR('Emails, Files, &amp; Other Data'!X180=TRUE,'Emails, Files, &amp; Other Data'!X181=TRUE,'Emails, Files, &amp; Other Data'!X182=TRUE),"Yes","No")</f>
        <v>No</v>
      </c>
      <c r="K68" s="306"/>
      <c r="L68" s="306"/>
      <c r="M68" s="307" t="b">
        <f>'Emails, Files, &amp; Other Data'!J181</f>
        <v>0</v>
      </c>
      <c r="N68" s="306" t="str">
        <f>N64</f>
        <v>Let users assign permissions when they apply the label</v>
      </c>
      <c r="O68" s="308" t="str">
        <f>O$12</f>
        <v>Content Marking</v>
      </c>
      <c r="P68" s="697"/>
      <c r="Q68" s="722"/>
      <c r="R68" s="724"/>
      <c r="S68" s="726"/>
      <c r="T68" s="724"/>
      <c r="U68" s="726"/>
      <c r="V68" s="736"/>
    </row>
    <row r="69" spans="1:22" ht="14.45" customHeight="1">
      <c r="A69" s="738"/>
      <c r="B69" s="749"/>
      <c r="C69" s="751"/>
      <c r="D69" s="744"/>
      <c r="E69" s="299" t="b">
        <f>'Sensitivity Labels'!F127</f>
        <v>0</v>
      </c>
      <c r="F69" s="300" t="str">
        <f>'Sensitivity Labels'!G127</f>
        <v>Meetings</v>
      </c>
      <c r="G69" s="769"/>
      <c r="H69" s="749"/>
      <c r="I69" s="725"/>
      <c r="J69" s="699" t="str">
        <f>IF('Emails, Files, &amp; Other Data'!AB180=TRUE,"Yes","No")</f>
        <v>No</v>
      </c>
      <c r="K69" s="306"/>
      <c r="L69" s="306"/>
      <c r="M69" s="306"/>
      <c r="N69" s="306"/>
      <c r="O69" s="705" t="str">
        <f>O$13</f>
        <v>Auto-labeling for files and emails: "Client-side Auto-Labeling"</v>
      </c>
      <c r="P69" s="697"/>
      <c r="Q69" s="727" t="str">
        <f>IF('Groups &amp; Sites'!H141=TRUE,"Yes","No")</f>
        <v>No</v>
      </c>
      <c r="R69" s="728" t="str">
        <f>R$13</f>
        <v>Let Microsoft 365 Group owners add people outside your organization to the group as guests.</v>
      </c>
      <c r="S69" s="725" t="str">
        <f>IF('Groups &amp; Sites'!K140=TRUE,"Yes","No")</f>
        <v>No</v>
      </c>
      <c r="T69" s="729" t="str">
        <f>T$13</f>
        <v>Use Microsoft Entra Conditional Access to protect labeled SharePoint sites</v>
      </c>
      <c r="U69" s="730" t="str">
        <f>IF(OR('Groups &amp; Sites'!S142=TRUE,'Groups &amp; Sites'!S143=TRUE,'Groups &amp; Sites'!S144=TRUE),"Yes","No")</f>
        <v>No</v>
      </c>
      <c r="V69" s="731" t="str">
        <f>V$13</f>
        <v>Teams shared channels</v>
      </c>
    </row>
    <row r="70" spans="1:22" ht="15" thickBot="1">
      <c r="A70" s="739"/>
      <c r="B70" s="750"/>
      <c r="C70" s="752"/>
      <c r="D70" s="745"/>
      <c r="E70" s="309" t="b">
        <f>'Sensitivity Labels'!F129</f>
        <v>0</v>
      </c>
      <c r="F70" s="310" t="str">
        <f>'Sensitivity Labels'!G129</f>
        <v>Groups &amp; Sites</v>
      </c>
      <c r="G70" s="770"/>
      <c r="H70" s="750"/>
      <c r="I70" s="771"/>
      <c r="J70" s="700"/>
      <c r="K70" s="311"/>
      <c r="L70" s="311"/>
      <c r="M70" s="311"/>
      <c r="N70" s="311"/>
      <c r="O70" s="706"/>
      <c r="P70" s="698"/>
      <c r="Q70" s="721"/>
      <c r="R70" s="729"/>
      <c r="S70" s="725"/>
      <c r="T70" s="729"/>
      <c r="U70" s="725"/>
      <c r="V70" s="732"/>
    </row>
    <row r="71" spans="1:22" ht="14.45" customHeight="1">
      <c r="A71" s="741">
        <f>A67+1</f>
        <v>16</v>
      </c>
      <c r="B71" s="746">
        <f>'Sensitivity Labels'!C131</f>
        <v>0</v>
      </c>
      <c r="C71" s="753">
        <f>'Sensitivity Labels'!D131</f>
        <v>0</v>
      </c>
      <c r="D71" s="547">
        <f>'Sensitivity Labels'!E131</f>
        <v>0</v>
      </c>
      <c r="E71" s="52" t="b">
        <f>'Sensitivity Labels'!F131</f>
        <v>0</v>
      </c>
      <c r="F71" s="54" t="str">
        <f>'Sensitivity Labels'!G131</f>
        <v>Files &amp; Other Data assets</v>
      </c>
      <c r="G71" s="772">
        <f>'Sensitivity Labels'!I131</f>
        <v>0</v>
      </c>
      <c r="H71" s="746">
        <f>'Sensitivity Labels'!J131</f>
        <v>0</v>
      </c>
      <c r="I71" s="775">
        <f>'Sensitivity Labels'!K131</f>
        <v>0</v>
      </c>
      <c r="J71" s="270" t="str">
        <f>IF(OR(M71=TRUE,M72=TRUE),"Encryption",(IF(K71=TRUE,"Remove Encryption","No Encryption")))</f>
        <v>No Encryption</v>
      </c>
      <c r="K71" s="265" t="b">
        <f>'Emails, Files, &amp; Other Data'!H192</f>
        <v>0</v>
      </c>
      <c r="L71" s="266" t="str">
        <f>L67</f>
        <v>Remove access control settings if already applied to items</v>
      </c>
      <c r="M71" s="265" t="b">
        <f>'Emails, Files, &amp; Other Data'!J192</f>
        <v>0</v>
      </c>
      <c r="N71" s="266" t="str">
        <f>N67</f>
        <v>Assign Permissions now</v>
      </c>
      <c r="O71" s="271" t="str">
        <f>O$11</f>
        <v>Access Control</v>
      </c>
      <c r="P71" s="694" t="str">
        <f>IF(E73=TRUE,"Yes","No")</f>
        <v>No</v>
      </c>
      <c r="Q71" s="707" t="str">
        <f>IF(OR('Groups &amp; Sites'!H148=INputs!AN$3,'Groups &amp; Sites'!H148=INputs!AN$4),"Yes","No")</f>
        <v>No</v>
      </c>
      <c r="R71" s="709" t="str">
        <f>R$11</f>
        <v>Privacy and external user access</v>
      </c>
      <c r="S71" s="711" t="str">
        <f>IF('Groups &amp; Sites'!K148=TRUE,"Yes","No")</f>
        <v>No</v>
      </c>
      <c r="T71" s="709" t="str">
        <f>T$11</f>
        <v>Content can be shared with</v>
      </c>
      <c r="U71" s="711" t="str">
        <f>IF('Groups &amp; Sites'!S149=TRUE,"Yes","No")</f>
        <v>No</v>
      </c>
      <c r="V71" s="733" t="str">
        <f>V$11</f>
        <v>Allow users to discover private teams that have this label applied.</v>
      </c>
    </row>
    <row r="72" spans="1:22" ht="14.45">
      <c r="A72" s="741"/>
      <c r="B72" s="747"/>
      <c r="C72" s="754"/>
      <c r="D72" s="548"/>
      <c r="E72" s="56" t="b">
        <f>'Sensitivity Labels'!F133</f>
        <v>0</v>
      </c>
      <c r="F72" t="str">
        <f>'Sensitivity Labels'!G133</f>
        <v>Emails</v>
      </c>
      <c r="G72" s="773"/>
      <c r="H72" s="747"/>
      <c r="I72" s="776"/>
      <c r="J72" s="272" t="str">
        <f>IF(OR('Emails, Files, &amp; Other Data'!X192=TRUE,'Emails, Files, &amp; Other Data'!X193=TRUE,'Emails, Files, &amp; Other Data'!X194=TRUE),"Yes","No")</f>
        <v>No</v>
      </c>
      <c r="K72" s="267"/>
      <c r="L72" s="267"/>
      <c r="M72" s="268" t="b">
        <f>'Emails, Files, &amp; Other Data'!J193</f>
        <v>0</v>
      </c>
      <c r="N72" s="267" t="str">
        <f>N68</f>
        <v>Let users assign permissions when they apply the label</v>
      </c>
      <c r="O72" s="273" t="str">
        <f>O$12</f>
        <v>Content Marking</v>
      </c>
      <c r="P72" s="695"/>
      <c r="Q72" s="708"/>
      <c r="R72" s="710"/>
      <c r="S72" s="712"/>
      <c r="T72" s="710"/>
      <c r="U72" s="712"/>
      <c r="V72" s="734"/>
    </row>
    <row r="73" spans="1:22" ht="14.45" customHeight="1">
      <c r="A73" s="741"/>
      <c r="B73" s="747"/>
      <c r="C73" s="754"/>
      <c r="D73" s="548"/>
      <c r="E73" s="56" t="b">
        <f>'Sensitivity Labels'!F135</f>
        <v>0</v>
      </c>
      <c r="F73" t="str">
        <f>'Sensitivity Labels'!G135</f>
        <v>Meetings</v>
      </c>
      <c r="G73" s="773"/>
      <c r="H73" s="747"/>
      <c r="I73" s="776"/>
      <c r="J73" s="692" t="str">
        <f>IF('Emails, Files, &amp; Other Data'!AB192=TRUE,"Yes","No")</f>
        <v>No</v>
      </c>
      <c r="K73" s="267"/>
      <c r="L73" s="267"/>
      <c r="M73" s="267"/>
      <c r="N73" s="267"/>
      <c r="O73" s="703" t="str">
        <f>O$13</f>
        <v>Auto-labeling for files and emails: "Client-side Auto-Labeling"</v>
      </c>
      <c r="P73" s="695"/>
      <c r="Q73" s="713" t="str">
        <f>IF('Groups &amp; Sites'!H150=TRUE,"Yes","No")</f>
        <v>No</v>
      </c>
      <c r="R73" s="715" t="str">
        <f>R$13</f>
        <v>Let Microsoft 365 Group owners add people outside your organization to the group as guests.</v>
      </c>
      <c r="S73" s="717" t="str">
        <f>IF('Groups &amp; Sites'!K149=TRUE,"Yes","No")</f>
        <v>No</v>
      </c>
      <c r="T73" s="719" t="str">
        <f>T$13</f>
        <v>Use Microsoft Entra Conditional Access to protect labeled SharePoint sites</v>
      </c>
      <c r="U73" s="720" t="str">
        <f>IF(OR('Groups &amp; Sites'!S151=TRUE,'Groups &amp; Sites'!S152=TRUE,'Groups &amp; Sites'!S153=TRUE),"Yes","No")</f>
        <v>No</v>
      </c>
      <c r="V73" s="701" t="str">
        <f>V$13</f>
        <v>Teams shared channels</v>
      </c>
    </row>
    <row r="74" spans="1:22" ht="15" thickBot="1">
      <c r="A74" s="741"/>
      <c r="B74" s="748"/>
      <c r="C74" s="755"/>
      <c r="D74" s="549"/>
      <c r="E74" s="61" t="b">
        <f>'Sensitivity Labels'!F137</f>
        <v>0</v>
      </c>
      <c r="F74" s="59" t="str">
        <f>'Sensitivity Labels'!G137</f>
        <v>Groups &amp; Sites</v>
      </c>
      <c r="G74" s="774"/>
      <c r="H74" s="748"/>
      <c r="I74" s="777"/>
      <c r="J74" s="693"/>
      <c r="K74" s="269"/>
      <c r="L74" s="269"/>
      <c r="M74" s="269"/>
      <c r="N74" s="269"/>
      <c r="O74" s="704"/>
      <c r="P74" s="696"/>
      <c r="Q74" s="714"/>
      <c r="R74" s="716"/>
      <c r="S74" s="718"/>
      <c r="T74" s="716"/>
      <c r="U74" s="718"/>
      <c r="V74" s="702"/>
    </row>
    <row r="75" spans="1:22" ht="14.45">
      <c r="A75" s="737">
        <f>A71+1</f>
        <v>17</v>
      </c>
      <c r="B75" s="749">
        <f>'Sensitivity Labels'!C139</f>
        <v>0</v>
      </c>
      <c r="C75" s="751">
        <f>'Sensitivity Labels'!D139</f>
        <v>0</v>
      </c>
      <c r="D75" s="743">
        <f>'Sensitivity Labels'!E139</f>
        <v>0</v>
      </c>
      <c r="E75" s="299" t="b">
        <f>'Sensitivity Labels'!F139</f>
        <v>0</v>
      </c>
      <c r="F75" s="300" t="str">
        <f>'Sensitivity Labels'!G139</f>
        <v>Files &amp; Other Data assets</v>
      </c>
      <c r="G75" s="769">
        <f>'Sensitivity Labels'!I139</f>
        <v>0</v>
      </c>
      <c r="H75" s="749">
        <f>'Sensitivity Labels'!J139</f>
        <v>0</v>
      </c>
      <c r="I75" s="725">
        <f>'Sensitivity Labels'!K139</f>
        <v>0</v>
      </c>
      <c r="J75" s="301" t="str">
        <f>IF(OR(M75=TRUE,M76=TRUE),"Encryption",(IF(K75=TRUE,"Remove Encryption","No Encryption")))</f>
        <v>No Encryption</v>
      </c>
      <c r="K75" s="302" t="b">
        <f>'Emails, Files, &amp; Other Data'!H204</f>
        <v>0</v>
      </c>
      <c r="L75" s="303" t="str">
        <f>L71</f>
        <v>Remove access control settings if already applied to items</v>
      </c>
      <c r="M75" s="302" t="b">
        <f>'Emails, Files, &amp; Other Data'!J204</f>
        <v>0</v>
      </c>
      <c r="N75" s="303" t="str">
        <f>N71</f>
        <v>Assign Permissions now</v>
      </c>
      <c r="O75" s="304" t="str">
        <f>O$11</f>
        <v>Access Control</v>
      </c>
      <c r="P75" s="697" t="str">
        <f>IF(E77=TRUE,"Yes","No")</f>
        <v>No</v>
      </c>
      <c r="Q75" s="721" t="str">
        <f>IF(OR('Groups &amp; Sites'!H157=INputs!AN$3,'Groups &amp; Sites'!H157=INputs!AN$4),"Yes","No")</f>
        <v>No</v>
      </c>
      <c r="R75" s="723" t="str">
        <f>R$11</f>
        <v>Privacy and external user access</v>
      </c>
      <c r="S75" s="725" t="str">
        <f>IF('Groups &amp; Sites'!K157=TRUE,"Yes","No")</f>
        <v>No</v>
      </c>
      <c r="T75" s="723" t="str">
        <f>T$11</f>
        <v>Content can be shared with</v>
      </c>
      <c r="U75" s="725" t="str">
        <f>IF('Groups &amp; Sites'!S158=TRUE,"Yes","No")</f>
        <v>No</v>
      </c>
      <c r="V75" s="735" t="str">
        <f>V$11</f>
        <v>Allow users to discover private teams that have this label applied.</v>
      </c>
    </row>
    <row r="76" spans="1:22" ht="14.45">
      <c r="A76" s="738"/>
      <c r="B76" s="749"/>
      <c r="C76" s="751"/>
      <c r="D76" s="744"/>
      <c r="E76" s="299" t="b">
        <f>'Sensitivity Labels'!F141</f>
        <v>0</v>
      </c>
      <c r="F76" s="300" t="str">
        <f>'Sensitivity Labels'!G141</f>
        <v>Emails</v>
      </c>
      <c r="G76" s="769"/>
      <c r="H76" s="749"/>
      <c r="I76" s="725"/>
      <c r="J76" s="305" t="str">
        <f>IF(OR('Emails, Files, &amp; Other Data'!X204=TRUE,'Emails, Files, &amp; Other Data'!X205=TRUE,'Emails, Files, &amp; Other Data'!X206=TRUE),"Yes","No")</f>
        <v>No</v>
      </c>
      <c r="K76" s="306"/>
      <c r="L76" s="306"/>
      <c r="M76" s="307" t="b">
        <f>'Emails, Files, &amp; Other Data'!J205</f>
        <v>0</v>
      </c>
      <c r="N76" s="306" t="str">
        <f>N72</f>
        <v>Let users assign permissions when they apply the label</v>
      </c>
      <c r="O76" s="308" t="str">
        <f>O$12</f>
        <v>Content Marking</v>
      </c>
      <c r="P76" s="697"/>
      <c r="Q76" s="722"/>
      <c r="R76" s="724"/>
      <c r="S76" s="726"/>
      <c r="T76" s="724"/>
      <c r="U76" s="726"/>
      <c r="V76" s="736"/>
    </row>
    <row r="77" spans="1:22" ht="14.45" customHeight="1">
      <c r="A77" s="738"/>
      <c r="B77" s="749"/>
      <c r="C77" s="751"/>
      <c r="D77" s="744"/>
      <c r="E77" s="299" t="b">
        <f>'Sensitivity Labels'!F143</f>
        <v>0</v>
      </c>
      <c r="F77" s="300" t="str">
        <f>'Sensitivity Labels'!G143</f>
        <v>Meetings</v>
      </c>
      <c r="G77" s="769"/>
      <c r="H77" s="749"/>
      <c r="I77" s="725"/>
      <c r="J77" s="699" t="str">
        <f>IF('Emails, Files, &amp; Other Data'!AB204=TRUE,"Yes","No")</f>
        <v>No</v>
      </c>
      <c r="K77" s="306"/>
      <c r="L77" s="306"/>
      <c r="M77" s="306"/>
      <c r="N77" s="306"/>
      <c r="O77" s="705" t="str">
        <f>O$13</f>
        <v>Auto-labeling for files and emails: "Client-side Auto-Labeling"</v>
      </c>
      <c r="P77" s="697"/>
      <c r="Q77" s="727" t="str">
        <f>IF('Groups &amp; Sites'!H159=TRUE,"Yes","No")</f>
        <v>No</v>
      </c>
      <c r="R77" s="728" t="str">
        <f>R$13</f>
        <v>Let Microsoft 365 Group owners add people outside your organization to the group as guests.</v>
      </c>
      <c r="S77" s="725" t="str">
        <f>IF('Groups &amp; Sites'!K158=TRUE,"Yes","No")</f>
        <v>No</v>
      </c>
      <c r="T77" s="729" t="str">
        <f>T$13</f>
        <v>Use Microsoft Entra Conditional Access to protect labeled SharePoint sites</v>
      </c>
      <c r="U77" s="730" t="str">
        <f>IF(OR('Groups &amp; Sites'!S160=TRUE,'Groups &amp; Sites'!S161=TRUE,'Groups &amp; Sites'!S162=TRUE),"Yes","No")</f>
        <v>No</v>
      </c>
      <c r="V77" s="731" t="str">
        <f>V$13</f>
        <v>Teams shared channels</v>
      </c>
    </row>
    <row r="78" spans="1:22" ht="15" thickBot="1">
      <c r="A78" s="739"/>
      <c r="B78" s="750"/>
      <c r="C78" s="752"/>
      <c r="D78" s="745"/>
      <c r="E78" s="309" t="b">
        <f>'Sensitivity Labels'!F145</f>
        <v>0</v>
      </c>
      <c r="F78" s="310" t="str">
        <f>'Sensitivity Labels'!G145</f>
        <v>Groups &amp; Sites</v>
      </c>
      <c r="G78" s="770"/>
      <c r="H78" s="750"/>
      <c r="I78" s="771"/>
      <c r="J78" s="700"/>
      <c r="K78" s="311"/>
      <c r="L78" s="311"/>
      <c r="M78" s="311"/>
      <c r="N78" s="311"/>
      <c r="O78" s="706"/>
      <c r="P78" s="698"/>
      <c r="Q78" s="721"/>
      <c r="R78" s="729"/>
      <c r="S78" s="725"/>
      <c r="T78" s="729"/>
      <c r="U78" s="725"/>
      <c r="V78" s="732"/>
    </row>
    <row r="79" spans="1:22" ht="14.45">
      <c r="A79" s="741">
        <f>A75+1</f>
        <v>18</v>
      </c>
      <c r="B79" s="746">
        <f>'Sensitivity Labels'!C147</f>
        <v>0</v>
      </c>
      <c r="C79" s="753">
        <f>'Sensitivity Labels'!D147</f>
        <v>0</v>
      </c>
      <c r="D79" s="547">
        <f>'Sensitivity Labels'!E147</f>
        <v>0</v>
      </c>
      <c r="E79" s="52" t="b">
        <f>'Sensitivity Labels'!F147</f>
        <v>0</v>
      </c>
      <c r="F79" s="54" t="str">
        <f>'Sensitivity Labels'!G147</f>
        <v>Files &amp; Other Data assets</v>
      </c>
      <c r="G79" s="772">
        <f>'Sensitivity Labels'!I147</f>
        <v>0</v>
      </c>
      <c r="H79" s="746">
        <f>'Sensitivity Labels'!J147</f>
        <v>0</v>
      </c>
      <c r="I79" s="775">
        <f>'Sensitivity Labels'!K147</f>
        <v>0</v>
      </c>
      <c r="J79" s="270" t="str">
        <f>IF(OR(M79=TRUE,M80=TRUE),"Encryption",(IF(K79=TRUE,"Remove Encryption","No Encryption")))</f>
        <v>No Encryption</v>
      </c>
      <c r="K79" s="265" t="b">
        <f>'Emails, Files, &amp; Other Data'!H216</f>
        <v>0</v>
      </c>
      <c r="L79" s="266" t="str">
        <f>L75</f>
        <v>Remove access control settings if already applied to items</v>
      </c>
      <c r="M79" s="265" t="b">
        <f>'Emails, Files, &amp; Other Data'!J216</f>
        <v>0</v>
      </c>
      <c r="N79" s="266" t="str">
        <f>N75</f>
        <v>Assign Permissions now</v>
      </c>
      <c r="O79" s="271" t="str">
        <f>O$11</f>
        <v>Access Control</v>
      </c>
      <c r="P79" s="694" t="str">
        <f>IF(E81=TRUE,"Yes","No")</f>
        <v>No</v>
      </c>
      <c r="Q79" s="707" t="str">
        <f>IF(OR('Groups &amp; Sites'!H166=INputs!AN$3,'Groups &amp; Sites'!H166=INputs!AN$4),"Yes","No")</f>
        <v>No</v>
      </c>
      <c r="R79" s="709" t="str">
        <f>R$11</f>
        <v>Privacy and external user access</v>
      </c>
      <c r="S79" s="711" t="str">
        <f>IF('Groups &amp; Sites'!K166=TRUE,"Yes","No")</f>
        <v>No</v>
      </c>
      <c r="T79" s="709" t="str">
        <f>T$11</f>
        <v>Content can be shared with</v>
      </c>
      <c r="U79" s="711" t="str">
        <f>IF('Groups &amp; Sites'!S167=TRUE,"Yes","No")</f>
        <v>No</v>
      </c>
      <c r="V79" s="733" t="str">
        <f>V$11</f>
        <v>Allow users to discover private teams that have this label applied.</v>
      </c>
    </row>
    <row r="80" spans="1:22" ht="14.45">
      <c r="A80" s="741"/>
      <c r="B80" s="747"/>
      <c r="C80" s="754"/>
      <c r="D80" s="548"/>
      <c r="E80" s="56" t="b">
        <f>'Sensitivity Labels'!F149</f>
        <v>0</v>
      </c>
      <c r="F80" t="str">
        <f>'Sensitivity Labels'!G149</f>
        <v>Emails</v>
      </c>
      <c r="G80" s="773"/>
      <c r="H80" s="747"/>
      <c r="I80" s="776"/>
      <c r="J80" s="272" t="str">
        <f>IF(OR('Emails, Files, &amp; Other Data'!X216=TRUE,'Emails, Files, &amp; Other Data'!X217=TRUE,'Emails, Files, &amp; Other Data'!X218=TRUE),"Yes","No")</f>
        <v>No</v>
      </c>
      <c r="K80" s="267"/>
      <c r="L80" s="267"/>
      <c r="M80" s="268" t="b">
        <f>'Emails, Files, &amp; Other Data'!J217</f>
        <v>0</v>
      </c>
      <c r="N80" s="267" t="str">
        <f>N76</f>
        <v>Let users assign permissions when they apply the label</v>
      </c>
      <c r="O80" s="273" t="str">
        <f>O$12</f>
        <v>Content Marking</v>
      </c>
      <c r="P80" s="695"/>
      <c r="Q80" s="708"/>
      <c r="R80" s="710"/>
      <c r="S80" s="712"/>
      <c r="T80" s="710"/>
      <c r="U80" s="712"/>
      <c r="V80" s="734"/>
    </row>
    <row r="81" spans="1:22" ht="14.45">
      <c r="A81" s="741"/>
      <c r="B81" s="747"/>
      <c r="C81" s="754"/>
      <c r="D81" s="548"/>
      <c r="E81" s="56" t="b">
        <f>'Sensitivity Labels'!F151</f>
        <v>0</v>
      </c>
      <c r="F81" t="str">
        <f>'Sensitivity Labels'!G151</f>
        <v>Meetings</v>
      </c>
      <c r="G81" s="773"/>
      <c r="H81" s="747"/>
      <c r="I81" s="776"/>
      <c r="J81" s="692" t="str">
        <f>IF('Emails, Files, &amp; Other Data'!AB216=TRUE,"Yes","No")</f>
        <v>No</v>
      </c>
      <c r="K81" s="267"/>
      <c r="L81" s="267"/>
      <c r="M81" s="267"/>
      <c r="N81" s="267"/>
      <c r="O81" s="703" t="str">
        <f>O$13</f>
        <v>Auto-labeling for files and emails: "Client-side Auto-Labeling"</v>
      </c>
      <c r="P81" s="695"/>
      <c r="Q81" s="713" t="str">
        <f>IF('Groups &amp; Sites'!H168=TRUE,"Yes","No")</f>
        <v>No</v>
      </c>
      <c r="R81" s="715" t="str">
        <f>R$13</f>
        <v>Let Microsoft 365 Group owners add people outside your organization to the group as guests.</v>
      </c>
      <c r="S81" s="717" t="str">
        <f>IF('Groups &amp; Sites'!K167=TRUE,"Yes","No")</f>
        <v>No</v>
      </c>
      <c r="T81" s="719" t="str">
        <f>T$13</f>
        <v>Use Microsoft Entra Conditional Access to protect labeled SharePoint sites</v>
      </c>
      <c r="U81" s="720" t="str">
        <f>IF(OR('Groups &amp; Sites'!S169=TRUE,'Groups &amp; Sites'!S170=TRUE,'Groups &amp; Sites'!S171=TRUE),"Yes","No")</f>
        <v>No</v>
      </c>
      <c r="V81" s="701" t="str">
        <f>V$13</f>
        <v>Teams shared channels</v>
      </c>
    </row>
    <row r="82" spans="1:22" ht="15" thickBot="1">
      <c r="A82" s="741"/>
      <c r="B82" s="748"/>
      <c r="C82" s="755"/>
      <c r="D82" s="549"/>
      <c r="E82" s="61" t="b">
        <f>'Sensitivity Labels'!F153</f>
        <v>0</v>
      </c>
      <c r="F82" s="59" t="str">
        <f>'Sensitivity Labels'!G153</f>
        <v>Groups &amp; Sites</v>
      </c>
      <c r="G82" s="774"/>
      <c r="H82" s="748"/>
      <c r="I82" s="777"/>
      <c r="J82" s="693"/>
      <c r="K82" s="269"/>
      <c r="L82" s="269"/>
      <c r="M82" s="269"/>
      <c r="N82" s="269"/>
      <c r="O82" s="704"/>
      <c r="P82" s="696"/>
      <c r="Q82" s="714"/>
      <c r="R82" s="716"/>
      <c r="S82" s="718"/>
      <c r="T82" s="716"/>
      <c r="U82" s="718"/>
      <c r="V82" s="702"/>
    </row>
    <row r="83" spans="1:22" ht="14.45" customHeight="1">
      <c r="A83" s="737">
        <f>A79+1</f>
        <v>19</v>
      </c>
      <c r="B83" s="749">
        <f>'Sensitivity Labels'!C155</f>
        <v>0</v>
      </c>
      <c r="C83" s="751">
        <f>'Sensitivity Labels'!D155</f>
        <v>0</v>
      </c>
      <c r="D83" s="743">
        <f>'Sensitivity Labels'!E155</f>
        <v>0</v>
      </c>
      <c r="E83" s="299" t="b">
        <f>'Sensitivity Labels'!F155</f>
        <v>0</v>
      </c>
      <c r="F83" s="300" t="str">
        <f>'Sensitivity Labels'!G155</f>
        <v>Files &amp; Other Data assets</v>
      </c>
      <c r="G83" s="769">
        <f>'Sensitivity Labels'!I155</f>
        <v>0</v>
      </c>
      <c r="H83" s="749">
        <f>'Sensitivity Labels'!J155</f>
        <v>0</v>
      </c>
      <c r="I83" s="725">
        <f>'Sensitivity Labels'!K155</f>
        <v>0</v>
      </c>
      <c r="J83" s="301" t="str">
        <f>IF(OR(M83=TRUE,M84=TRUE),"Encryption",(IF(K83=TRUE,"Remove Encryption","No Encryption")))</f>
        <v>No Encryption</v>
      </c>
      <c r="K83" s="302" t="b">
        <f>'Emails, Files, &amp; Other Data'!H228</f>
        <v>0</v>
      </c>
      <c r="L83" s="303" t="str">
        <f>L79</f>
        <v>Remove access control settings if already applied to items</v>
      </c>
      <c r="M83" s="302" t="b">
        <f>'Emails, Files, &amp; Other Data'!J228</f>
        <v>0</v>
      </c>
      <c r="N83" s="303" t="str">
        <f>N79</f>
        <v>Assign Permissions now</v>
      </c>
      <c r="O83" s="304" t="str">
        <f>O$11</f>
        <v>Access Control</v>
      </c>
      <c r="P83" s="697" t="str">
        <f>IF(E85=TRUE,"Yes","No")</f>
        <v>No</v>
      </c>
      <c r="Q83" s="721" t="str">
        <f>IF(OR('Groups &amp; Sites'!H175=INputs!AN$3,'Groups &amp; Sites'!H175=INputs!AN$4),"Yes","No")</f>
        <v>No</v>
      </c>
      <c r="R83" s="723" t="str">
        <f>R$11</f>
        <v>Privacy and external user access</v>
      </c>
      <c r="S83" s="725" t="str">
        <f>IF('Groups &amp; Sites'!K175=TRUE,"Yes","No")</f>
        <v>No</v>
      </c>
      <c r="T83" s="723" t="str">
        <f>T$11</f>
        <v>Content can be shared with</v>
      </c>
      <c r="U83" s="725" t="str">
        <f>IF('Groups &amp; Sites'!S176=TRUE,"Yes","No")</f>
        <v>No</v>
      </c>
      <c r="V83" s="735" t="str">
        <f>V$11</f>
        <v>Allow users to discover private teams that have this label applied.</v>
      </c>
    </row>
    <row r="84" spans="1:22" ht="14.45">
      <c r="A84" s="738"/>
      <c r="B84" s="749"/>
      <c r="C84" s="751"/>
      <c r="D84" s="744"/>
      <c r="E84" s="299" t="b">
        <f>'Sensitivity Labels'!F157</f>
        <v>0</v>
      </c>
      <c r="F84" s="300" t="str">
        <f>'Sensitivity Labels'!G157</f>
        <v>Emails</v>
      </c>
      <c r="G84" s="769"/>
      <c r="H84" s="749"/>
      <c r="I84" s="725"/>
      <c r="J84" s="305" t="str">
        <f>IF(OR('Emails, Files, &amp; Other Data'!X228=TRUE,'Emails, Files, &amp; Other Data'!X229=TRUE,'Emails, Files, &amp; Other Data'!X230=TRUE),"Yes","No")</f>
        <v>No</v>
      </c>
      <c r="K84" s="306"/>
      <c r="L84" s="306"/>
      <c r="M84" s="307" t="b">
        <f>'Emails, Files, &amp; Other Data'!J229</f>
        <v>0</v>
      </c>
      <c r="N84" s="306" t="str">
        <f>N80</f>
        <v>Let users assign permissions when they apply the label</v>
      </c>
      <c r="O84" s="308" t="str">
        <f>O$12</f>
        <v>Content Marking</v>
      </c>
      <c r="P84" s="697"/>
      <c r="Q84" s="722"/>
      <c r="R84" s="724"/>
      <c r="S84" s="726"/>
      <c r="T84" s="724"/>
      <c r="U84" s="726"/>
      <c r="V84" s="736"/>
    </row>
    <row r="85" spans="1:22" ht="14.45" customHeight="1">
      <c r="A85" s="738"/>
      <c r="B85" s="749"/>
      <c r="C85" s="751"/>
      <c r="D85" s="744"/>
      <c r="E85" s="299" t="b">
        <f>'Sensitivity Labels'!F159</f>
        <v>0</v>
      </c>
      <c r="F85" s="300" t="str">
        <f>'Sensitivity Labels'!G159</f>
        <v>Meetings</v>
      </c>
      <c r="G85" s="769"/>
      <c r="H85" s="749"/>
      <c r="I85" s="725"/>
      <c r="J85" s="699" t="str">
        <f>IF('Emails, Files, &amp; Other Data'!AB228=TRUE,"Yes","No")</f>
        <v>No</v>
      </c>
      <c r="K85" s="306"/>
      <c r="L85" s="306"/>
      <c r="M85" s="306"/>
      <c r="N85" s="306"/>
      <c r="O85" s="705" t="str">
        <f>O$13</f>
        <v>Auto-labeling for files and emails: "Client-side Auto-Labeling"</v>
      </c>
      <c r="P85" s="697"/>
      <c r="Q85" s="727" t="str">
        <f>IF('Groups &amp; Sites'!H177=TRUE,"Yes","No")</f>
        <v>No</v>
      </c>
      <c r="R85" s="728" t="str">
        <f>R$13</f>
        <v>Let Microsoft 365 Group owners add people outside your organization to the group as guests.</v>
      </c>
      <c r="S85" s="725" t="str">
        <f>IF('Groups &amp; Sites'!K176=TRUE,"Yes","No")</f>
        <v>No</v>
      </c>
      <c r="T85" s="729" t="str">
        <f>T$13</f>
        <v>Use Microsoft Entra Conditional Access to protect labeled SharePoint sites</v>
      </c>
      <c r="U85" s="730" t="str">
        <f>IF(OR('Groups &amp; Sites'!S178=TRUE,'Groups &amp; Sites'!S179=TRUE,'Groups &amp; Sites'!S180=TRUE),"Yes","No")</f>
        <v>No</v>
      </c>
      <c r="V85" s="731" t="str">
        <f>V$13</f>
        <v>Teams shared channels</v>
      </c>
    </row>
    <row r="86" spans="1:22" ht="15" thickBot="1">
      <c r="A86" s="739"/>
      <c r="B86" s="750"/>
      <c r="C86" s="752"/>
      <c r="D86" s="745"/>
      <c r="E86" s="309" t="b">
        <f>'Sensitivity Labels'!F161</f>
        <v>0</v>
      </c>
      <c r="F86" s="310" t="str">
        <f>'Sensitivity Labels'!G161</f>
        <v>Groups &amp; Sites</v>
      </c>
      <c r="G86" s="770"/>
      <c r="H86" s="750"/>
      <c r="I86" s="771"/>
      <c r="J86" s="700"/>
      <c r="K86" s="311"/>
      <c r="L86" s="311"/>
      <c r="M86" s="311"/>
      <c r="N86" s="311"/>
      <c r="O86" s="706"/>
      <c r="P86" s="698"/>
      <c r="Q86" s="721"/>
      <c r="R86" s="729"/>
      <c r="S86" s="725"/>
      <c r="T86" s="729"/>
      <c r="U86" s="725"/>
      <c r="V86" s="732"/>
    </row>
    <row r="87" spans="1:22" ht="14.45" customHeight="1">
      <c r="A87" s="741">
        <f>A83+1</f>
        <v>20</v>
      </c>
      <c r="B87" s="746">
        <f>'Sensitivity Labels'!C163</f>
        <v>0</v>
      </c>
      <c r="C87" s="753">
        <f>'Sensitivity Labels'!D163</f>
        <v>0</v>
      </c>
      <c r="D87" s="547">
        <f>'Sensitivity Labels'!E163</f>
        <v>0</v>
      </c>
      <c r="E87" s="52" t="b">
        <f>'Sensitivity Labels'!F163</f>
        <v>0</v>
      </c>
      <c r="F87" s="54" t="str">
        <f>'Sensitivity Labels'!G163</f>
        <v>Files &amp; Other Data assets</v>
      </c>
      <c r="G87" s="772">
        <f>'Sensitivity Labels'!I163</f>
        <v>0</v>
      </c>
      <c r="H87" s="746">
        <f>'Sensitivity Labels'!J163</f>
        <v>0</v>
      </c>
      <c r="I87" s="775">
        <f>'Sensitivity Labels'!K163</f>
        <v>0</v>
      </c>
      <c r="J87" s="270" t="str">
        <f>IF(OR(M87=TRUE,M88=TRUE),"Encryption",(IF(K87=TRUE,"Remove Encryption","No Encryption")))</f>
        <v>No Encryption</v>
      </c>
      <c r="K87" s="265" t="b">
        <f>'Emails, Files, &amp; Other Data'!H240</f>
        <v>0</v>
      </c>
      <c r="L87" s="266" t="str">
        <f>L83</f>
        <v>Remove access control settings if already applied to items</v>
      </c>
      <c r="M87" s="265" t="b">
        <f>'Emails, Files, &amp; Other Data'!J240</f>
        <v>0</v>
      </c>
      <c r="N87" s="266" t="str">
        <f>N83</f>
        <v>Assign Permissions now</v>
      </c>
      <c r="O87" s="271" t="str">
        <f>O$11</f>
        <v>Access Control</v>
      </c>
      <c r="P87" s="694" t="str">
        <f>IF(E89=TRUE,"Yes","No")</f>
        <v>No</v>
      </c>
      <c r="Q87" s="707" t="str">
        <f>IF(OR('Groups &amp; Sites'!H184=INputs!AN$3,'Groups &amp; Sites'!H184=INputs!AN$4),"Yes","No")</f>
        <v>No</v>
      </c>
      <c r="R87" s="709" t="str">
        <f>R$11</f>
        <v>Privacy and external user access</v>
      </c>
      <c r="S87" s="711" t="str">
        <f>IF('Groups &amp; Sites'!K184=TRUE,"Yes","No")</f>
        <v>No</v>
      </c>
      <c r="T87" s="709" t="str">
        <f>T$11</f>
        <v>Content can be shared with</v>
      </c>
      <c r="U87" s="711" t="str">
        <f>IF('Groups &amp; Sites'!S185=TRUE,"Yes","No")</f>
        <v>No</v>
      </c>
      <c r="V87" s="733" t="str">
        <f>V$11</f>
        <v>Allow users to discover private teams that have this label applied.</v>
      </c>
    </row>
    <row r="88" spans="1:22" ht="14.45">
      <c r="A88" s="741"/>
      <c r="B88" s="747"/>
      <c r="C88" s="754"/>
      <c r="D88" s="548"/>
      <c r="E88" s="56" t="b">
        <f>'Sensitivity Labels'!F165</f>
        <v>0</v>
      </c>
      <c r="F88" t="str">
        <f>'Sensitivity Labels'!G165</f>
        <v>Emails</v>
      </c>
      <c r="G88" s="773"/>
      <c r="H88" s="747"/>
      <c r="I88" s="776"/>
      <c r="J88" s="272" t="str">
        <f>IF(OR('Emails, Files, &amp; Other Data'!X240=TRUE,'Emails, Files, &amp; Other Data'!X241=TRUE,'Emails, Files, &amp; Other Data'!X242=TRUE),"Yes","No")</f>
        <v>No</v>
      </c>
      <c r="K88" s="267"/>
      <c r="L88" s="267"/>
      <c r="M88" s="268" t="b">
        <f>'Emails, Files, &amp; Other Data'!J241</f>
        <v>0</v>
      </c>
      <c r="N88" s="267" t="str">
        <f>N84</f>
        <v>Let users assign permissions when they apply the label</v>
      </c>
      <c r="O88" s="273" t="str">
        <f>O$12</f>
        <v>Content Marking</v>
      </c>
      <c r="P88" s="695"/>
      <c r="Q88" s="708"/>
      <c r="R88" s="710"/>
      <c r="S88" s="712"/>
      <c r="T88" s="710"/>
      <c r="U88" s="712"/>
      <c r="V88" s="734"/>
    </row>
    <row r="89" spans="1:22" ht="14.45" customHeight="1">
      <c r="A89" s="741"/>
      <c r="B89" s="747"/>
      <c r="C89" s="754"/>
      <c r="D89" s="548"/>
      <c r="E89" s="56" t="b">
        <f>'Sensitivity Labels'!F167</f>
        <v>0</v>
      </c>
      <c r="F89" t="str">
        <f>'Sensitivity Labels'!G167</f>
        <v>Meetings</v>
      </c>
      <c r="G89" s="773"/>
      <c r="H89" s="747"/>
      <c r="I89" s="776"/>
      <c r="J89" s="692" t="str">
        <f>IF('Emails, Files, &amp; Other Data'!AB240=TRUE,"Yes","No")</f>
        <v>No</v>
      </c>
      <c r="K89" s="267"/>
      <c r="L89" s="267"/>
      <c r="M89" s="267"/>
      <c r="N89" s="267"/>
      <c r="O89" s="703" t="str">
        <f>O$13</f>
        <v>Auto-labeling for files and emails: "Client-side Auto-Labeling"</v>
      </c>
      <c r="P89" s="695"/>
      <c r="Q89" s="713" t="str">
        <f>IF('Groups &amp; Sites'!H186=TRUE,"Yes","No")</f>
        <v>No</v>
      </c>
      <c r="R89" s="715" t="str">
        <f>R$13</f>
        <v>Let Microsoft 365 Group owners add people outside your organization to the group as guests.</v>
      </c>
      <c r="S89" s="717" t="str">
        <f>IF('Groups &amp; Sites'!K185=TRUE,"Yes","No")</f>
        <v>No</v>
      </c>
      <c r="T89" s="719" t="str">
        <f>T$13</f>
        <v>Use Microsoft Entra Conditional Access to protect labeled SharePoint sites</v>
      </c>
      <c r="U89" s="720" t="str">
        <f>IF(OR('Groups &amp; Sites'!S187=TRUE,'Groups &amp; Sites'!S188=TRUE,'Groups &amp; Sites'!S189=TRUE),"Yes","No")</f>
        <v>No</v>
      </c>
      <c r="V89" s="701" t="str">
        <f>V$13</f>
        <v>Teams shared channels</v>
      </c>
    </row>
    <row r="90" spans="1:22" ht="15" thickBot="1">
      <c r="A90" s="741"/>
      <c r="B90" s="748"/>
      <c r="C90" s="755"/>
      <c r="D90" s="549"/>
      <c r="E90" s="61" t="b">
        <f>'Sensitivity Labels'!F169</f>
        <v>0</v>
      </c>
      <c r="F90" s="59" t="str">
        <f>'Sensitivity Labels'!G169</f>
        <v>Groups &amp; Sites</v>
      </c>
      <c r="G90" s="774"/>
      <c r="H90" s="748"/>
      <c r="I90" s="777"/>
      <c r="J90" s="693"/>
      <c r="K90" s="269"/>
      <c r="L90" s="269"/>
      <c r="M90" s="269"/>
      <c r="N90" s="269"/>
      <c r="O90" s="704"/>
      <c r="P90" s="696"/>
      <c r="Q90" s="714"/>
      <c r="R90" s="716"/>
      <c r="S90" s="718"/>
      <c r="T90" s="716"/>
      <c r="U90" s="718"/>
      <c r="V90" s="702"/>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807" priority="23" operator="equal">
      <formula>0</formula>
    </cfRule>
  </conditionalFormatting>
  <conditionalFormatting sqref="G11:I90">
    <cfRule type="cellIs" dxfId="806" priority="161" operator="equal">
      <formula>0</formula>
    </cfRule>
  </conditionalFormatting>
  <conditionalFormatting sqref="G19:I22">
    <cfRule type="cellIs" dxfId="805" priority="26" operator="equal">
      <formula>0</formula>
    </cfRule>
  </conditionalFormatting>
  <conditionalFormatting sqref="G27:I30">
    <cfRule type="cellIs" dxfId="804" priority="29" operator="equal">
      <formula>0</formula>
    </cfRule>
  </conditionalFormatting>
  <conditionalFormatting sqref="G35:I38">
    <cfRule type="cellIs" dxfId="803" priority="32" operator="equal">
      <formula>0</formula>
    </cfRule>
  </conditionalFormatting>
  <conditionalFormatting sqref="G43:I46">
    <cfRule type="cellIs" dxfId="802" priority="35" operator="equal">
      <formula>0</formula>
    </cfRule>
  </conditionalFormatting>
  <conditionalFormatting sqref="G51:I54">
    <cfRule type="cellIs" dxfId="801" priority="38" operator="equal">
      <formula>0</formula>
    </cfRule>
  </conditionalFormatting>
  <conditionalFormatting sqref="G59:I62">
    <cfRule type="cellIs" dxfId="800" priority="41" operator="equal">
      <formula>0</formula>
    </cfRule>
  </conditionalFormatting>
  <conditionalFormatting sqref="G67:I70">
    <cfRule type="cellIs" dxfId="799" priority="44" operator="equal">
      <formula>0</formula>
    </cfRule>
  </conditionalFormatting>
  <conditionalFormatting sqref="G75:I78">
    <cfRule type="cellIs" dxfId="798" priority="53" operator="equal">
      <formula>0</formula>
    </cfRule>
  </conditionalFormatting>
  <conditionalFormatting sqref="G83:I86">
    <cfRule type="cellIs" dxfId="797" priority="47" operator="equal">
      <formula>0</formula>
    </cfRule>
  </conditionalFormatting>
  <conditionalFormatting sqref="I11 I15 I19 I23 I27 I31 I35 I39 I43 I47 I51 I55 I59 I63 I67 I71 I75 I79 I83 I87">
    <cfRule type="cellIs" dxfId="796" priority="164" operator="equal">
      <formula>"Brown"</formula>
    </cfRule>
    <cfRule type="cellIs" dxfId="795" priority="165" operator="equal">
      <formula>"Amber"</formula>
    </cfRule>
    <cfRule type="cellIs" dxfId="794" priority="166" operator="equal">
      <formula>"orange"</formula>
    </cfRule>
    <cfRule type="cellIs" dxfId="793" priority="167" operator="equal">
      <formula>"Green"</formula>
    </cfRule>
    <cfRule type="cellIs" dxfId="792" priority="168" operator="equal">
      <formula>"Blue"</formula>
    </cfRule>
    <cfRule type="cellIs" dxfId="791" priority="169" operator="equal">
      <formula>"Purple"</formula>
    </cfRule>
    <cfRule type="cellIs" dxfId="790" priority="170" operator="equal">
      <formula>"Dark Gray"</formula>
    </cfRule>
    <cfRule type="cellIs" dxfId="789" priority="171" operator="equal">
      <formula>"Magenta"</formula>
    </cfRule>
    <cfRule type="cellIs" dxfId="788" priority="172" operator="equal">
      <formula>"Gray"</formula>
    </cfRule>
    <cfRule type="cellIs" dxfId="78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bottomRight" activeCell="Z21" sqref="Z21"/>
      <selection pane="bottomLeft" activeCell="A5" sqref="A5"/>
      <selection pane="topRight" activeCell="B1" sqref="B1"/>
    </sheetView>
  </sheetViews>
  <sheetFormatPr defaultRowHeight="14.45" outlineLevelRow="1"/>
  <cols>
    <col min="1" max="1" width="3.7109375" style="79" customWidth="1"/>
    <col min="2" max="2" width="5.140625" style="79"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05"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3.45">
      <c r="C1" s="38" t="s">
        <v>105</v>
      </c>
      <c r="T1" s="426"/>
    </row>
    <row r="2" spans="1:30" ht="10.5" customHeight="1" thickBot="1"/>
    <row r="3" spans="1:30" ht="27.75" customHeight="1" thickBot="1">
      <c r="C3" s="88" t="s">
        <v>119</v>
      </c>
      <c r="D3" s="16"/>
      <c r="E3" s="88" t="s">
        <v>291</v>
      </c>
      <c r="F3" s="16"/>
      <c r="G3" s="88" t="s">
        <v>292</v>
      </c>
      <c r="H3" s="16"/>
      <c r="I3" s="88" t="s">
        <v>293</v>
      </c>
      <c r="J3" s="16"/>
      <c r="K3" s="88" t="s">
        <v>294</v>
      </c>
      <c r="L3" s="16"/>
      <c r="M3" s="684" t="s">
        <v>295</v>
      </c>
      <c r="N3" s="685"/>
      <c r="O3" s="16"/>
      <c r="P3" s="624" t="s">
        <v>296</v>
      </c>
      <c r="Q3" s="625"/>
      <c r="R3" s="16"/>
      <c r="S3" s="684" t="s">
        <v>297</v>
      </c>
      <c r="T3" s="685"/>
      <c r="U3" s="17"/>
      <c r="V3" s="684" t="s">
        <v>298</v>
      </c>
      <c r="W3" s="685"/>
      <c r="X3" s="124"/>
      <c r="Y3" s="684" t="s">
        <v>299</v>
      </c>
      <c r="Z3" s="685"/>
      <c r="AA3" s="16"/>
      <c r="AB3" s="684" t="s">
        <v>300</v>
      </c>
      <c r="AC3" s="685"/>
    </row>
    <row r="4" spans="1:30" ht="6.95" hidden="1" customHeight="1">
      <c r="C4" s="130"/>
      <c r="D4" s="16"/>
      <c r="E4" s="131"/>
      <c r="F4" s="16"/>
      <c r="G4" s="130"/>
      <c r="H4" s="16"/>
      <c r="I4" s="131"/>
      <c r="J4" s="16"/>
      <c r="K4" s="131"/>
      <c r="L4" s="16"/>
      <c r="M4" s="131"/>
      <c r="N4" s="131"/>
      <c r="O4" s="16"/>
      <c r="P4" s="128"/>
      <c r="Q4" s="128"/>
      <c r="R4" s="16"/>
      <c r="S4" s="130"/>
      <c r="T4" s="130"/>
      <c r="U4" s="17"/>
      <c r="V4" s="131"/>
      <c r="W4" s="131"/>
      <c r="X4" s="124"/>
      <c r="Y4" s="131"/>
      <c r="Z4" s="131"/>
      <c r="AA4" s="16"/>
      <c r="AB4" s="131"/>
      <c r="AC4" s="131"/>
    </row>
    <row r="5" spans="1:30" s="3" customFormat="1" ht="192.6" hidden="1" customHeight="1" outlineLevel="1">
      <c r="A5" s="503" t="s">
        <v>125</v>
      </c>
      <c r="B5" s="133"/>
      <c r="C5" s="515" t="s">
        <v>301</v>
      </c>
      <c r="D5" s="136"/>
      <c r="E5" s="144" t="s">
        <v>302</v>
      </c>
      <c r="F5" s="136"/>
      <c r="G5" s="144" t="s">
        <v>303</v>
      </c>
      <c r="H5" s="136"/>
      <c r="I5" s="144" t="s">
        <v>304</v>
      </c>
      <c r="J5" s="136"/>
      <c r="K5" s="144" t="s">
        <v>305</v>
      </c>
      <c r="L5" s="136"/>
      <c r="M5" s="811" t="s">
        <v>306</v>
      </c>
      <c r="N5" s="812"/>
      <c r="O5" s="136"/>
      <c r="P5" s="811" t="s">
        <v>307</v>
      </c>
      <c r="Q5" s="812"/>
      <c r="R5" s="136"/>
      <c r="S5" s="811" t="s">
        <v>308</v>
      </c>
      <c r="T5" s="646"/>
      <c r="U5" s="145"/>
      <c r="V5" s="646" t="s">
        <v>309</v>
      </c>
      <c r="W5" s="646"/>
      <c r="X5" s="145"/>
      <c r="Y5" s="646" t="s">
        <v>310</v>
      </c>
      <c r="Z5" s="646"/>
      <c r="AA5" s="145"/>
      <c r="AB5" s="646" t="s">
        <v>311</v>
      </c>
      <c r="AC5" s="646"/>
    </row>
    <row r="6" spans="1:30" s="3" customFormat="1" ht="14.45" hidden="1" customHeight="1" outlineLevel="1">
      <c r="A6" s="689" t="s">
        <v>133</v>
      </c>
      <c r="B6" s="503"/>
      <c r="C6" s="483" t="s">
        <v>312</v>
      </c>
      <c r="D6" s="517"/>
      <c r="E6" s="484"/>
      <c r="F6" s="517"/>
      <c r="G6" s="484"/>
      <c r="H6" s="517"/>
      <c r="I6" s="483" t="s">
        <v>313</v>
      </c>
      <c r="J6" s="517"/>
      <c r="K6" s="483" t="s">
        <v>314</v>
      </c>
      <c r="L6" s="517"/>
      <c r="M6" s="602" t="s">
        <v>312</v>
      </c>
      <c r="N6" s="602"/>
      <c r="O6" s="517"/>
      <c r="P6" s="602" t="s">
        <v>315</v>
      </c>
      <c r="Q6" s="602"/>
      <c r="R6" s="517"/>
      <c r="S6" s="602" t="s">
        <v>315</v>
      </c>
      <c r="T6" s="602"/>
      <c r="U6" s="517"/>
      <c r="V6" s="602" t="s">
        <v>246</v>
      </c>
      <c r="W6" s="602"/>
      <c r="X6" s="517"/>
      <c r="Y6" s="602" t="s">
        <v>316</v>
      </c>
      <c r="Z6" s="602"/>
      <c r="AA6" s="517"/>
      <c r="AB6" s="602" t="s">
        <v>317</v>
      </c>
      <c r="AC6" s="602"/>
    </row>
    <row r="7" spans="1:30" s="3" customFormat="1" ht="14.45" hidden="1" customHeight="1" outlineLevel="1">
      <c r="A7" s="689"/>
      <c r="B7" s="503"/>
      <c r="C7" s="484"/>
      <c r="D7" s="517"/>
      <c r="E7" s="484"/>
      <c r="F7" s="517"/>
      <c r="G7" s="484"/>
      <c r="H7" s="517"/>
      <c r="I7" s="484"/>
      <c r="J7" s="517"/>
      <c r="K7" s="484"/>
      <c r="L7" s="517"/>
      <c r="M7" s="602" t="s">
        <v>318</v>
      </c>
      <c r="N7" s="602"/>
      <c r="O7" s="517"/>
      <c r="P7" s="612"/>
      <c r="Q7" s="612"/>
      <c r="R7" s="517"/>
      <c r="S7" s="602" t="s">
        <v>319</v>
      </c>
      <c r="T7" s="602"/>
      <c r="U7" s="517"/>
      <c r="V7" s="612"/>
      <c r="W7" s="612"/>
      <c r="X7" s="517"/>
      <c r="Y7" s="612"/>
      <c r="Z7" s="612"/>
      <c r="AA7" s="517"/>
      <c r="AB7" s="612"/>
      <c r="AC7" s="612"/>
    </row>
    <row r="8" spans="1:30" s="3" customFormat="1" hidden="1" outlineLevel="1">
      <c r="A8" s="689"/>
      <c r="B8" s="503"/>
      <c r="C8" s="484"/>
      <c r="D8" s="517"/>
      <c r="E8" s="484"/>
      <c r="F8" s="517"/>
      <c r="G8" s="484"/>
      <c r="H8" s="517"/>
      <c r="I8" s="484"/>
      <c r="J8" s="517"/>
      <c r="K8" s="484"/>
      <c r="L8" s="517"/>
      <c r="M8" s="602" t="s">
        <v>320</v>
      </c>
      <c r="N8" s="602"/>
      <c r="O8" s="517"/>
      <c r="P8" s="612"/>
      <c r="Q8" s="612"/>
      <c r="R8" s="517"/>
      <c r="S8" s="612"/>
      <c r="T8" s="612"/>
      <c r="U8" s="517"/>
      <c r="V8" s="612"/>
      <c r="W8" s="612"/>
      <c r="X8" s="517"/>
      <c r="Y8" s="612"/>
      <c r="Z8" s="612"/>
      <c r="AA8" s="517"/>
      <c r="AB8" s="612"/>
      <c r="AC8" s="612"/>
    </row>
    <row r="9" spans="1:30" s="3" customFormat="1" hidden="1" outlineLevel="1">
      <c r="A9" s="689"/>
      <c r="B9" s="503"/>
      <c r="C9" s="484"/>
      <c r="D9" s="517"/>
      <c r="E9" s="484"/>
      <c r="F9" s="517"/>
      <c r="G9" s="484"/>
      <c r="H9" s="517"/>
      <c r="I9" s="484"/>
      <c r="J9" s="517"/>
      <c r="K9" s="484"/>
      <c r="L9" s="517"/>
      <c r="M9" s="602" t="s">
        <v>321</v>
      </c>
      <c r="N9" s="602"/>
      <c r="O9" s="517"/>
      <c r="P9" s="612"/>
      <c r="Q9" s="612"/>
      <c r="R9" s="517"/>
      <c r="S9" s="612"/>
      <c r="T9" s="612"/>
      <c r="U9" s="517"/>
      <c r="V9" s="612"/>
      <c r="W9" s="612"/>
      <c r="X9" s="517"/>
      <c r="Y9" s="612"/>
      <c r="Z9" s="612"/>
      <c r="AA9" s="517"/>
      <c r="AB9" s="612"/>
      <c r="AC9" s="612"/>
    </row>
    <row r="10" spans="1:30" s="3" customFormat="1" hidden="1" outlineLevel="1">
      <c r="A10" s="689"/>
      <c r="B10" s="503"/>
      <c r="C10" s="484"/>
      <c r="D10" s="517"/>
      <c r="E10" s="484"/>
      <c r="F10" s="517"/>
      <c r="G10" s="484"/>
      <c r="H10" s="517"/>
      <c r="I10" s="484"/>
      <c r="J10" s="517"/>
      <c r="K10" s="484"/>
      <c r="L10" s="517"/>
      <c r="M10" s="602" t="s">
        <v>318</v>
      </c>
      <c r="N10" s="602"/>
      <c r="O10" s="517"/>
      <c r="P10" s="612"/>
      <c r="Q10" s="612"/>
      <c r="R10" s="517"/>
      <c r="S10" s="612"/>
      <c r="T10" s="612"/>
      <c r="U10" s="517"/>
      <c r="V10" s="612"/>
      <c r="W10" s="612"/>
      <c r="X10" s="517"/>
      <c r="Y10" s="612"/>
      <c r="Z10" s="612"/>
      <c r="AA10" s="517"/>
      <c r="AB10" s="612"/>
      <c r="AC10" s="612"/>
    </row>
    <row r="11" spans="1:30" collapsed="1">
      <c r="C11" s="7" t="s">
        <v>140</v>
      </c>
      <c r="D11" s="16"/>
      <c r="E11" s="7" t="s">
        <v>140</v>
      </c>
      <c r="F11" s="16"/>
      <c r="G11" s="7" t="s">
        <v>140</v>
      </c>
      <c r="H11" s="16"/>
      <c r="I11" s="7" t="s">
        <v>140</v>
      </c>
      <c r="J11" s="16"/>
      <c r="K11" s="7" t="s">
        <v>140</v>
      </c>
      <c r="L11" s="16"/>
      <c r="M11" s="17"/>
      <c r="N11" s="26" t="s">
        <v>141</v>
      </c>
      <c r="O11" s="26"/>
      <c r="P11" s="657" t="s">
        <v>141</v>
      </c>
      <c r="Q11" s="657"/>
      <c r="R11" s="26"/>
      <c r="S11" s="657" t="s">
        <v>141</v>
      </c>
      <c r="T11" s="657"/>
      <c r="U11" s="26"/>
      <c r="V11" s="657" t="s">
        <v>141</v>
      </c>
      <c r="W11" s="657"/>
      <c r="X11" s="502"/>
      <c r="Y11" s="657" t="s">
        <v>141</v>
      </c>
      <c r="Z11" s="657"/>
      <c r="AA11" s="26"/>
      <c r="AB11" s="813" t="s">
        <v>141</v>
      </c>
      <c r="AC11" s="813"/>
      <c r="AD11" s="26"/>
    </row>
    <row r="12" spans="1:30" ht="6" customHeight="1" thickBot="1">
      <c r="C12" s="27"/>
      <c r="D12" s="27"/>
      <c r="E12" s="27"/>
      <c r="F12" s="27"/>
      <c r="G12" s="27"/>
      <c r="H12" s="27"/>
      <c r="I12" s="27"/>
      <c r="J12" s="27"/>
      <c r="K12" s="27"/>
      <c r="L12" s="27"/>
      <c r="M12" s="27"/>
      <c r="N12" s="27"/>
      <c r="O12" s="27"/>
      <c r="P12" s="27"/>
      <c r="Q12" s="27"/>
      <c r="R12" s="27"/>
      <c r="S12" s="27"/>
      <c r="T12" s="27"/>
      <c r="U12" s="27"/>
      <c r="V12" s="94"/>
      <c r="W12" s="27"/>
      <c r="X12" s="27"/>
      <c r="Y12" s="27"/>
      <c r="Z12" s="27"/>
      <c r="AA12" s="27"/>
      <c r="AB12" s="27"/>
      <c r="AC12" s="27"/>
      <c r="AD12" s="27"/>
    </row>
    <row r="13" spans="1:30">
      <c r="A13" s="559">
        <v>1</v>
      </c>
      <c r="B13" s="474">
        <f>A13+10</f>
        <v>11</v>
      </c>
      <c r="C13" s="804" t="s">
        <v>322</v>
      </c>
      <c r="D13" s="70"/>
      <c r="E13" s="808"/>
      <c r="F13" s="70"/>
      <c r="G13" s="553" t="s">
        <v>323</v>
      </c>
      <c r="H13" s="70"/>
      <c r="I13" s="808"/>
      <c r="J13" s="70"/>
      <c r="K13" s="808" t="s">
        <v>324</v>
      </c>
      <c r="L13" s="54"/>
      <c r="M13" s="52" t="b">
        <v>1</v>
      </c>
      <c r="N13" s="54" t="s">
        <v>325</v>
      </c>
      <c r="O13" s="54"/>
      <c r="P13" s="54"/>
      <c r="Q13" s="54" t="s">
        <v>326</v>
      </c>
      <c r="R13" s="54"/>
      <c r="S13" s="753"/>
      <c r="T13" s="54" t="s">
        <v>327</v>
      </c>
      <c r="U13" s="54"/>
      <c r="V13" s="753"/>
      <c r="W13" s="54" t="s">
        <v>328</v>
      </c>
      <c r="X13" s="54"/>
      <c r="Y13" s="753"/>
      <c r="Z13" s="54" t="s">
        <v>329</v>
      </c>
      <c r="AA13" s="54"/>
      <c r="AB13" s="753"/>
      <c r="AC13" s="54" t="s">
        <v>330</v>
      </c>
      <c r="AD13" s="63"/>
    </row>
    <row r="14" spans="1:30">
      <c r="A14" s="560"/>
      <c r="B14" s="201">
        <f t="shared" ref="B14:B22" si="0">B13+1</f>
        <v>12</v>
      </c>
      <c r="C14" s="805"/>
      <c r="D14" s="22"/>
      <c r="E14" s="542"/>
      <c r="F14" s="22"/>
      <c r="G14" s="554"/>
      <c r="H14" s="22"/>
      <c r="I14" s="542"/>
      <c r="J14" s="22"/>
      <c r="K14" s="542"/>
      <c r="M14" s="56" t="b">
        <v>1</v>
      </c>
      <c r="N14" t="s">
        <v>331</v>
      </c>
      <c r="Q14" s="425" t="s">
        <v>140</v>
      </c>
      <c r="S14" s="754"/>
      <c r="T14" s="425" t="s">
        <v>140</v>
      </c>
      <c r="V14" s="754"/>
      <c r="W14" s="425" t="s">
        <v>140</v>
      </c>
      <c r="Y14" s="754"/>
      <c r="Z14" s="425" t="s">
        <v>140</v>
      </c>
      <c r="AB14" s="754"/>
      <c r="AC14" s="425" t="s">
        <v>140</v>
      </c>
      <c r="AD14" s="58"/>
    </row>
    <row r="15" spans="1:30">
      <c r="A15" s="560"/>
      <c r="B15" s="201">
        <f t="shared" si="0"/>
        <v>13</v>
      </c>
      <c r="C15" s="805"/>
      <c r="D15" s="22"/>
      <c r="E15" s="542"/>
      <c r="F15" s="22"/>
      <c r="G15" s="554"/>
      <c r="H15" s="22"/>
      <c r="I15" s="542"/>
      <c r="J15" s="22"/>
      <c r="K15" s="542"/>
      <c r="M15" s="56" t="b">
        <v>0</v>
      </c>
      <c r="N15" t="s">
        <v>332</v>
      </c>
      <c r="Q15" s="5" t="s">
        <v>150</v>
      </c>
      <c r="T15" s="9" t="s">
        <v>150</v>
      </c>
      <c r="W15" s="9" t="s">
        <v>150</v>
      </c>
      <c r="Z15" s="9" t="s">
        <v>150</v>
      </c>
      <c r="AC15" s="9"/>
      <c r="AD15" s="58"/>
    </row>
    <row r="16" spans="1:30" ht="1.5" customHeight="1">
      <c r="A16" s="560"/>
      <c r="B16" s="201">
        <f t="shared" si="0"/>
        <v>14</v>
      </c>
      <c r="C16" s="805"/>
      <c r="D16" s="22"/>
      <c r="E16" s="542"/>
      <c r="F16" s="22"/>
      <c r="G16" s="554"/>
      <c r="H16" s="22"/>
      <c r="I16" s="542"/>
      <c r="J16" s="22"/>
      <c r="K16" s="542"/>
      <c r="Q16" s="3"/>
      <c r="AD16" s="58"/>
    </row>
    <row r="17" spans="1:30">
      <c r="A17" s="560"/>
      <c r="B17" s="201">
        <f t="shared" si="0"/>
        <v>15</v>
      </c>
      <c r="C17" s="805"/>
      <c r="D17" s="22"/>
      <c r="E17" s="542"/>
      <c r="F17" s="22"/>
      <c r="G17" s="554"/>
      <c r="H17" s="22"/>
      <c r="I17" s="542"/>
      <c r="J17" s="22"/>
      <c r="K17" s="542"/>
      <c r="M17" s="56" t="b">
        <v>1</v>
      </c>
      <c r="N17" t="s">
        <v>333</v>
      </c>
      <c r="Q17" s="8"/>
      <c r="S17" s="40" t="b">
        <v>1</v>
      </c>
      <c r="T17" s="39" t="s">
        <v>334</v>
      </c>
      <c r="V17" s="106" t="b">
        <v>1</v>
      </c>
      <c r="W17" t="s">
        <v>335</v>
      </c>
      <c r="Y17" s="802" t="b">
        <v>1</v>
      </c>
      <c r="Z17" t="s">
        <v>336</v>
      </c>
      <c r="AD17" s="58"/>
    </row>
    <row r="18" spans="1:30" ht="3.6" customHeight="1">
      <c r="A18" s="560"/>
      <c r="B18" s="201">
        <f t="shared" si="0"/>
        <v>16</v>
      </c>
      <c r="C18" s="805"/>
      <c r="D18" s="22"/>
      <c r="E18" s="542"/>
      <c r="F18" s="22"/>
      <c r="G18" s="554"/>
      <c r="H18" s="22"/>
      <c r="I18" s="542"/>
      <c r="J18" s="22"/>
      <c r="K18" s="542"/>
      <c r="Q18" s="8"/>
      <c r="S18" s="39"/>
      <c r="T18" s="39"/>
      <c r="Y18" s="802"/>
      <c r="AD18" s="58"/>
    </row>
    <row r="19" spans="1:30">
      <c r="A19" s="560"/>
      <c r="B19" s="201">
        <f t="shared" si="0"/>
        <v>17</v>
      </c>
      <c r="C19" s="805"/>
      <c r="D19" s="22"/>
      <c r="E19" s="542"/>
      <c r="F19" s="22"/>
      <c r="G19" s="554"/>
      <c r="H19" s="22"/>
      <c r="I19" s="542"/>
      <c r="J19" s="22"/>
      <c r="K19" s="542"/>
      <c r="N19" s="65" t="s">
        <v>140</v>
      </c>
      <c r="S19" s="803" t="s">
        <v>337</v>
      </c>
      <c r="T19" s="803"/>
      <c r="V19" s="803" t="s">
        <v>338</v>
      </c>
      <c r="W19" s="803"/>
      <c r="Y19" s="802"/>
      <c r="AD19" s="58"/>
    </row>
    <row r="20" spans="1:30">
      <c r="A20" s="560"/>
      <c r="B20" s="201">
        <f t="shared" si="0"/>
        <v>18</v>
      </c>
      <c r="C20" s="805"/>
      <c r="D20" s="22"/>
      <c r="E20" s="542"/>
      <c r="F20" s="22"/>
      <c r="G20" s="554"/>
      <c r="H20" s="22"/>
      <c r="I20" s="542"/>
      <c r="J20" s="22"/>
      <c r="K20" s="542"/>
      <c r="N20" s="672" t="s">
        <v>339</v>
      </c>
      <c r="S20" s="56" t="b">
        <v>1</v>
      </c>
      <c r="T20" t="s">
        <v>340</v>
      </c>
      <c r="W20" t="s">
        <v>341</v>
      </c>
      <c r="AD20" s="58"/>
    </row>
    <row r="21" spans="1:30">
      <c r="A21" s="560"/>
      <c r="B21" s="201">
        <f t="shared" si="0"/>
        <v>19</v>
      </c>
      <c r="C21" s="805"/>
      <c r="D21" s="22"/>
      <c r="E21" s="542"/>
      <c r="F21" s="22"/>
      <c r="G21" s="554"/>
      <c r="H21" s="22"/>
      <c r="I21" s="542"/>
      <c r="J21" s="22"/>
      <c r="K21" s="542"/>
      <c r="N21" s="672"/>
      <c r="T21" s="65" t="s">
        <v>142</v>
      </c>
      <c r="W21" s="428" t="s">
        <v>142</v>
      </c>
      <c r="X21" s="65"/>
      <c r="Y21" s="65"/>
      <c r="Z21" s="65"/>
      <c r="AD21" s="58"/>
    </row>
    <row r="22" spans="1:30">
      <c r="A22" s="560"/>
      <c r="B22" s="201">
        <f t="shared" si="0"/>
        <v>20</v>
      </c>
      <c r="C22" s="806"/>
      <c r="D22" s="22"/>
      <c r="E22" s="809"/>
      <c r="F22" s="22"/>
      <c r="G22" s="554"/>
      <c r="H22" s="22"/>
      <c r="I22" s="809"/>
      <c r="J22" s="22"/>
      <c r="K22" s="809"/>
      <c r="N22" s="505"/>
      <c r="T22" s="39" t="s">
        <v>25</v>
      </c>
      <c r="W22" s="9" t="s">
        <v>25</v>
      </c>
      <c r="X22" s="65"/>
      <c r="Y22" s="65"/>
      <c r="Z22" s="65"/>
      <c r="AD22" s="58"/>
    </row>
    <row r="23" spans="1:30" ht="9.6" customHeight="1" thickBot="1">
      <c r="A23" s="561"/>
      <c r="B23" s="201"/>
      <c r="C23" s="807"/>
      <c r="D23" s="111"/>
      <c r="E23" s="810"/>
      <c r="F23" s="111"/>
      <c r="G23" s="555"/>
      <c r="H23" s="111"/>
      <c r="I23" s="810"/>
      <c r="J23" s="111"/>
      <c r="K23" s="810"/>
      <c r="L23" s="59"/>
      <c r="M23" s="59"/>
      <c r="N23" s="59"/>
      <c r="O23" s="59"/>
      <c r="P23" s="59"/>
      <c r="Q23" s="59"/>
      <c r="R23" s="59"/>
      <c r="S23" s="59"/>
      <c r="T23" s="59"/>
      <c r="U23" s="59"/>
      <c r="V23" s="91"/>
      <c r="W23" s="59"/>
      <c r="X23" s="66"/>
      <c r="Y23" s="66"/>
      <c r="Z23" s="66"/>
      <c r="AA23" s="59"/>
      <c r="AB23" s="59"/>
      <c r="AC23" s="59"/>
      <c r="AD23" s="62"/>
    </row>
    <row r="24" spans="1:30" ht="6.95" customHeight="1" thickBot="1">
      <c r="C24" s="28"/>
      <c r="D24" s="28"/>
      <c r="E24" s="28"/>
      <c r="F24" s="28"/>
      <c r="G24" s="28"/>
      <c r="H24" s="28"/>
      <c r="I24" s="28"/>
      <c r="J24" s="28"/>
      <c r="K24" s="28"/>
      <c r="L24" s="27"/>
      <c r="M24" s="27"/>
      <c r="N24" s="27"/>
      <c r="O24" s="27"/>
      <c r="P24" s="27"/>
      <c r="Q24" s="27"/>
      <c r="R24" s="27"/>
      <c r="S24" s="27"/>
      <c r="T24" s="27"/>
      <c r="U24" s="27"/>
      <c r="V24" s="94"/>
      <c r="W24" s="27"/>
      <c r="X24" s="27"/>
      <c r="Y24" s="27"/>
      <c r="Z24" s="27"/>
      <c r="AA24" s="27"/>
      <c r="AB24" s="27"/>
      <c r="AC24" s="27"/>
      <c r="AD24" s="27"/>
    </row>
    <row r="25" spans="1:30" ht="15" customHeight="1">
      <c r="A25" s="559">
        <f>A13+1</f>
        <v>2</v>
      </c>
      <c r="B25" s="474">
        <f>(A25*10)+1</f>
        <v>21</v>
      </c>
      <c r="C25" s="804"/>
      <c r="D25" s="70"/>
      <c r="E25" s="808"/>
      <c r="F25" s="70"/>
      <c r="G25" s="553"/>
      <c r="H25" s="70"/>
      <c r="I25" s="808"/>
      <c r="J25" s="70"/>
      <c r="K25" s="808"/>
      <c r="L25" s="54"/>
      <c r="M25" s="52" t="b">
        <v>0</v>
      </c>
      <c r="N25" s="54" t="s">
        <v>325</v>
      </c>
      <c r="O25" s="54"/>
      <c r="P25" s="54"/>
      <c r="Q25" s="54" t="s">
        <v>326</v>
      </c>
      <c r="R25" s="54"/>
      <c r="S25" s="753"/>
      <c r="T25" s="54" t="s">
        <v>327</v>
      </c>
      <c r="U25" s="54"/>
      <c r="V25" s="753"/>
      <c r="W25" s="54" t="s">
        <v>328</v>
      </c>
      <c r="X25" s="54"/>
      <c r="Y25" s="753"/>
      <c r="Z25" s="54" t="s">
        <v>329</v>
      </c>
      <c r="AA25" s="54"/>
      <c r="AB25" s="753"/>
      <c r="AC25" s="54" t="s">
        <v>330</v>
      </c>
      <c r="AD25" s="63"/>
    </row>
    <row r="26" spans="1:30" ht="15" customHeight="1">
      <c r="A26" s="560"/>
      <c r="B26" s="201">
        <f t="shared" ref="B26:B34" si="1">B25+1</f>
        <v>22</v>
      </c>
      <c r="C26" s="805"/>
      <c r="D26" s="22"/>
      <c r="E26" s="542"/>
      <c r="F26" s="22"/>
      <c r="G26" s="554"/>
      <c r="H26" s="22"/>
      <c r="I26" s="542"/>
      <c r="J26" s="22"/>
      <c r="K26" s="542"/>
      <c r="M26" s="56" t="b">
        <v>0</v>
      </c>
      <c r="N26" t="s">
        <v>331</v>
      </c>
      <c r="Q26" s="425" t="s">
        <v>140</v>
      </c>
      <c r="S26" s="754"/>
      <c r="T26" s="425" t="s">
        <v>140</v>
      </c>
      <c r="V26" s="754"/>
      <c r="W26" s="425" t="s">
        <v>140</v>
      </c>
      <c r="Y26" s="754"/>
      <c r="Z26" s="425" t="s">
        <v>140</v>
      </c>
      <c r="AB26" s="754"/>
      <c r="AC26" s="425" t="s">
        <v>140</v>
      </c>
      <c r="AD26" s="58"/>
    </row>
    <row r="27" spans="1:30" ht="15" customHeight="1">
      <c r="A27" s="560"/>
      <c r="B27" s="201">
        <f t="shared" si="1"/>
        <v>23</v>
      </c>
      <c r="C27" s="805"/>
      <c r="D27" s="22"/>
      <c r="E27" s="542"/>
      <c r="F27" s="22"/>
      <c r="G27" s="554"/>
      <c r="H27" s="22"/>
      <c r="I27" s="542"/>
      <c r="J27" s="22"/>
      <c r="K27" s="542"/>
      <c r="M27" s="56" t="b">
        <v>0</v>
      </c>
      <c r="N27" t="s">
        <v>332</v>
      </c>
      <c r="Q27" s="5"/>
      <c r="T27" s="9"/>
      <c r="W27" s="9"/>
      <c r="Z27" s="9"/>
      <c r="AC27" s="9"/>
      <c r="AD27" s="58"/>
    </row>
    <row r="28" spans="1:30" ht="3.95" customHeight="1">
      <c r="A28" s="560"/>
      <c r="B28" s="201">
        <f t="shared" si="1"/>
        <v>24</v>
      </c>
      <c r="C28" s="805"/>
      <c r="D28" s="22"/>
      <c r="E28" s="542"/>
      <c r="F28" s="22"/>
      <c r="G28" s="554"/>
      <c r="H28" s="22"/>
      <c r="I28" s="542"/>
      <c r="J28" s="22"/>
      <c r="K28" s="542"/>
      <c r="Q28" s="3"/>
      <c r="AD28" s="58"/>
    </row>
    <row r="29" spans="1:30" ht="15" customHeight="1">
      <c r="A29" s="560"/>
      <c r="B29" s="201">
        <f t="shared" si="1"/>
        <v>25</v>
      </c>
      <c r="C29" s="805"/>
      <c r="D29" s="22"/>
      <c r="E29" s="542"/>
      <c r="F29" s="22"/>
      <c r="G29" s="554"/>
      <c r="H29" s="22"/>
      <c r="I29" s="542"/>
      <c r="J29" s="22"/>
      <c r="K29" s="542"/>
      <c r="M29" s="56" t="b">
        <v>0</v>
      </c>
      <c r="N29" t="s">
        <v>333</v>
      </c>
      <c r="Q29" s="8"/>
      <c r="S29" s="40" t="b">
        <v>0</v>
      </c>
      <c r="T29" s="39" t="s">
        <v>334</v>
      </c>
      <c r="V29" s="106" t="b">
        <v>0</v>
      </c>
      <c r="W29" t="s">
        <v>335</v>
      </c>
      <c r="Y29" s="802" t="b">
        <v>0</v>
      </c>
      <c r="Z29" t="s">
        <v>336</v>
      </c>
      <c r="AD29" s="58"/>
    </row>
    <row r="30" spans="1:30" ht="3.95" customHeight="1">
      <c r="A30" s="560"/>
      <c r="B30" s="201">
        <f t="shared" si="1"/>
        <v>26</v>
      </c>
      <c r="C30" s="805"/>
      <c r="D30" s="22"/>
      <c r="E30" s="542"/>
      <c r="F30" s="22"/>
      <c r="G30" s="554"/>
      <c r="H30" s="22"/>
      <c r="I30" s="542"/>
      <c r="J30" s="22"/>
      <c r="K30" s="542"/>
      <c r="Q30" s="8"/>
      <c r="T30" s="39"/>
      <c r="Y30" s="802"/>
      <c r="AD30" s="58"/>
    </row>
    <row r="31" spans="1:30" ht="15" customHeight="1">
      <c r="A31" s="560"/>
      <c r="B31" s="201">
        <f t="shared" si="1"/>
        <v>27</v>
      </c>
      <c r="C31" s="805"/>
      <c r="D31" s="22"/>
      <c r="E31" s="542"/>
      <c r="F31" s="22"/>
      <c r="G31" s="554"/>
      <c r="H31" s="22"/>
      <c r="I31" s="542"/>
      <c r="J31" s="22"/>
      <c r="K31" s="542"/>
      <c r="N31" s="65" t="s">
        <v>140</v>
      </c>
      <c r="S31" s="803" t="s">
        <v>337</v>
      </c>
      <c r="T31" s="803"/>
      <c r="V31" s="803" t="s">
        <v>338</v>
      </c>
      <c r="W31" s="803"/>
      <c r="Y31" s="802"/>
      <c r="AD31" s="58"/>
    </row>
    <row r="32" spans="1:30" ht="15" customHeight="1">
      <c r="A32" s="560"/>
      <c r="B32" s="201">
        <f t="shared" si="1"/>
        <v>28</v>
      </c>
      <c r="C32" s="805"/>
      <c r="D32" s="22"/>
      <c r="E32" s="542"/>
      <c r="F32" s="22"/>
      <c r="G32" s="554"/>
      <c r="H32" s="22"/>
      <c r="I32" s="542"/>
      <c r="J32" s="22"/>
      <c r="K32" s="542"/>
      <c r="N32" s="672"/>
      <c r="S32" s="56" t="b">
        <v>0</v>
      </c>
      <c r="T32" t="s">
        <v>340</v>
      </c>
      <c r="W32" t="s">
        <v>341</v>
      </c>
      <c r="AD32" s="58"/>
    </row>
    <row r="33" spans="1:30" ht="15" customHeight="1">
      <c r="A33" s="560"/>
      <c r="B33" s="201">
        <f t="shared" si="1"/>
        <v>29</v>
      </c>
      <c r="C33" s="805"/>
      <c r="D33" s="22"/>
      <c r="E33" s="542"/>
      <c r="F33" s="22"/>
      <c r="G33" s="554"/>
      <c r="H33" s="22"/>
      <c r="I33" s="542"/>
      <c r="J33" s="22"/>
      <c r="K33" s="542"/>
      <c r="N33" s="672"/>
      <c r="T33" s="65" t="s">
        <v>142</v>
      </c>
      <c r="W33" s="428" t="s">
        <v>142</v>
      </c>
      <c r="X33" s="65"/>
      <c r="Y33" s="65"/>
      <c r="Z33" s="65"/>
      <c r="AD33" s="58"/>
    </row>
    <row r="34" spans="1:30" ht="15" customHeight="1">
      <c r="A34" s="560"/>
      <c r="B34" s="201">
        <f t="shared" si="1"/>
        <v>30</v>
      </c>
      <c r="C34" s="806"/>
      <c r="D34" s="22"/>
      <c r="E34" s="809"/>
      <c r="F34" s="22"/>
      <c r="G34" s="554"/>
      <c r="H34" s="22"/>
      <c r="I34" s="809"/>
      <c r="J34" s="22"/>
      <c r="K34" s="809"/>
      <c r="N34" s="505"/>
      <c r="T34" s="39"/>
      <c r="W34" s="9"/>
      <c r="X34" s="65"/>
      <c r="Y34" s="65"/>
      <c r="Z34" s="65"/>
      <c r="AD34" s="58"/>
    </row>
    <row r="35" spans="1:30" ht="8.1" customHeight="1" thickBot="1">
      <c r="A35" s="561"/>
      <c r="B35" s="201"/>
      <c r="C35" s="807"/>
      <c r="D35" s="111"/>
      <c r="E35" s="810"/>
      <c r="F35" s="111"/>
      <c r="G35" s="555"/>
      <c r="H35" s="111"/>
      <c r="I35" s="810"/>
      <c r="J35" s="111"/>
      <c r="K35" s="810"/>
      <c r="L35" s="59"/>
      <c r="M35" s="59"/>
      <c r="N35" s="59"/>
      <c r="O35" s="59"/>
      <c r="P35" s="59"/>
      <c r="Q35" s="59"/>
      <c r="R35" s="59"/>
      <c r="S35" s="59"/>
      <c r="T35" s="59"/>
      <c r="U35" s="59"/>
      <c r="V35" s="91"/>
      <c r="W35" s="59"/>
      <c r="X35" s="66"/>
      <c r="Y35" s="66"/>
      <c r="Z35" s="66"/>
      <c r="AA35" s="59"/>
      <c r="AB35" s="59"/>
      <c r="AC35" s="59"/>
      <c r="AD35" s="62"/>
    </row>
    <row r="36" spans="1:30" ht="6.95" customHeight="1" thickBot="1">
      <c r="C36" s="28"/>
      <c r="D36" s="28"/>
      <c r="E36" s="28"/>
      <c r="F36" s="28"/>
      <c r="G36" s="28"/>
      <c r="H36" s="28"/>
      <c r="I36" s="28"/>
      <c r="J36" s="28"/>
      <c r="K36" s="28"/>
      <c r="L36" s="27"/>
      <c r="M36" s="27"/>
      <c r="N36" s="27"/>
      <c r="O36" s="27"/>
      <c r="P36" s="27"/>
      <c r="Q36" s="27"/>
      <c r="R36" s="27"/>
      <c r="S36" s="27"/>
      <c r="T36" s="27"/>
      <c r="U36" s="27"/>
      <c r="V36" s="94"/>
      <c r="W36" s="27"/>
      <c r="X36" s="27"/>
      <c r="Y36" s="27"/>
      <c r="Z36" s="27"/>
      <c r="AA36" s="27"/>
      <c r="AB36" s="27"/>
      <c r="AC36" s="27"/>
      <c r="AD36" s="27"/>
    </row>
    <row r="37" spans="1:30" ht="15" customHeight="1">
      <c r="A37" s="559">
        <f>A25+1</f>
        <v>3</v>
      </c>
      <c r="B37" s="474">
        <f>(A37*10)+1</f>
        <v>31</v>
      </c>
      <c r="C37" s="804"/>
      <c r="D37" s="70"/>
      <c r="E37" s="808"/>
      <c r="F37" s="70"/>
      <c r="G37" s="553"/>
      <c r="H37" s="70"/>
      <c r="I37" s="808"/>
      <c r="J37" s="70"/>
      <c r="K37" s="808"/>
      <c r="L37" s="54"/>
      <c r="M37" s="52" t="b">
        <v>0</v>
      </c>
      <c r="N37" s="54" t="s">
        <v>325</v>
      </c>
      <c r="O37" s="54"/>
      <c r="P37" s="54"/>
      <c r="Q37" s="54" t="s">
        <v>326</v>
      </c>
      <c r="R37" s="54"/>
      <c r="S37" s="753"/>
      <c r="T37" s="54" t="s">
        <v>327</v>
      </c>
      <c r="U37" s="54"/>
      <c r="V37" s="753"/>
      <c r="W37" s="54" t="s">
        <v>328</v>
      </c>
      <c r="X37" s="54"/>
      <c r="Y37" s="753"/>
      <c r="Z37" s="54" t="s">
        <v>329</v>
      </c>
      <c r="AA37" s="54"/>
      <c r="AB37" s="753"/>
      <c r="AC37" s="54" t="s">
        <v>330</v>
      </c>
      <c r="AD37" s="63"/>
    </row>
    <row r="38" spans="1:30" ht="15" customHeight="1">
      <c r="A38" s="560"/>
      <c r="B38" s="201">
        <f t="shared" ref="B38:B46" si="2">B37+1</f>
        <v>32</v>
      </c>
      <c r="C38" s="805"/>
      <c r="D38" s="22"/>
      <c r="E38" s="542"/>
      <c r="F38" s="22"/>
      <c r="G38" s="554"/>
      <c r="H38" s="22"/>
      <c r="I38" s="542"/>
      <c r="J38" s="22"/>
      <c r="K38" s="542"/>
      <c r="M38" s="56" t="b">
        <v>0</v>
      </c>
      <c r="N38" t="s">
        <v>331</v>
      </c>
      <c r="Q38" s="425" t="s">
        <v>140</v>
      </c>
      <c r="S38" s="754"/>
      <c r="T38" s="425" t="s">
        <v>140</v>
      </c>
      <c r="V38" s="754"/>
      <c r="W38" s="425" t="s">
        <v>140</v>
      </c>
      <c r="Y38" s="754"/>
      <c r="Z38" s="425" t="s">
        <v>140</v>
      </c>
      <c r="AB38" s="754"/>
      <c r="AC38" s="425" t="s">
        <v>140</v>
      </c>
      <c r="AD38" s="58"/>
    </row>
    <row r="39" spans="1:30" ht="15" customHeight="1">
      <c r="A39" s="560"/>
      <c r="B39" s="201">
        <f t="shared" si="2"/>
        <v>33</v>
      </c>
      <c r="C39" s="805"/>
      <c r="D39" s="22"/>
      <c r="E39" s="542"/>
      <c r="F39" s="22"/>
      <c r="G39" s="554"/>
      <c r="H39" s="22"/>
      <c r="I39" s="542"/>
      <c r="J39" s="22"/>
      <c r="K39" s="542"/>
      <c r="M39" s="56" t="b">
        <v>0</v>
      </c>
      <c r="N39" t="s">
        <v>332</v>
      </c>
      <c r="Q39" s="5"/>
      <c r="T39" s="9"/>
      <c r="W39" s="9"/>
      <c r="Z39" s="9"/>
      <c r="AC39" s="9"/>
      <c r="AD39" s="58"/>
    </row>
    <row r="40" spans="1:30" ht="3.95" customHeight="1">
      <c r="A40" s="560"/>
      <c r="B40" s="201">
        <f t="shared" si="2"/>
        <v>34</v>
      </c>
      <c r="C40" s="805"/>
      <c r="D40" s="22"/>
      <c r="E40" s="542"/>
      <c r="F40" s="22"/>
      <c r="G40" s="554"/>
      <c r="H40" s="22"/>
      <c r="I40" s="542"/>
      <c r="J40" s="22"/>
      <c r="K40" s="542"/>
      <c r="Q40" s="3"/>
      <c r="AD40" s="58"/>
    </row>
    <row r="41" spans="1:30" ht="15" customHeight="1">
      <c r="A41" s="560"/>
      <c r="B41" s="201">
        <f t="shared" si="2"/>
        <v>35</v>
      </c>
      <c r="C41" s="805"/>
      <c r="D41" s="22"/>
      <c r="E41" s="542"/>
      <c r="F41" s="22"/>
      <c r="G41" s="554"/>
      <c r="H41" s="22"/>
      <c r="I41" s="542"/>
      <c r="J41" s="22"/>
      <c r="K41" s="542"/>
      <c r="M41" s="56" t="b">
        <v>0</v>
      </c>
      <c r="N41" t="s">
        <v>333</v>
      </c>
      <c r="Q41" s="8"/>
      <c r="S41" s="40" t="b">
        <v>0</v>
      </c>
      <c r="T41" s="39" t="s">
        <v>334</v>
      </c>
      <c r="V41" s="106" t="b">
        <v>0</v>
      </c>
      <c r="W41" t="s">
        <v>335</v>
      </c>
      <c r="Y41" s="802" t="b">
        <v>0</v>
      </c>
      <c r="Z41" t="s">
        <v>336</v>
      </c>
      <c r="AD41" s="58"/>
    </row>
    <row r="42" spans="1:30" ht="3.95" customHeight="1">
      <c r="A42" s="560"/>
      <c r="B42" s="201">
        <f t="shared" si="2"/>
        <v>36</v>
      </c>
      <c r="C42" s="805"/>
      <c r="D42" s="22"/>
      <c r="E42" s="542"/>
      <c r="F42" s="22"/>
      <c r="G42" s="554"/>
      <c r="H42" s="22"/>
      <c r="I42" s="542"/>
      <c r="J42" s="22"/>
      <c r="K42" s="542"/>
      <c r="Q42" s="8"/>
      <c r="S42" s="39"/>
      <c r="T42" s="39"/>
      <c r="Y42" s="802"/>
      <c r="AD42" s="58"/>
    </row>
    <row r="43" spans="1:30" ht="15" customHeight="1">
      <c r="A43" s="560"/>
      <c r="B43" s="201">
        <f t="shared" si="2"/>
        <v>37</v>
      </c>
      <c r="C43" s="805"/>
      <c r="D43" s="22"/>
      <c r="E43" s="542"/>
      <c r="F43" s="22"/>
      <c r="G43" s="554"/>
      <c r="H43" s="22"/>
      <c r="I43" s="542"/>
      <c r="J43" s="22"/>
      <c r="K43" s="542"/>
      <c r="N43" s="65" t="s">
        <v>140</v>
      </c>
      <c r="S43" s="803" t="s">
        <v>337</v>
      </c>
      <c r="T43" s="803"/>
      <c r="V43" s="803" t="s">
        <v>338</v>
      </c>
      <c r="W43" s="803"/>
      <c r="Y43" s="802"/>
      <c r="AD43" s="58"/>
    </row>
    <row r="44" spans="1:30" ht="15" customHeight="1">
      <c r="A44" s="560"/>
      <c r="B44" s="201">
        <f t="shared" si="2"/>
        <v>38</v>
      </c>
      <c r="C44" s="805"/>
      <c r="D44" s="22"/>
      <c r="E44" s="542"/>
      <c r="F44" s="22"/>
      <c r="G44" s="554"/>
      <c r="H44" s="22"/>
      <c r="I44" s="542"/>
      <c r="J44" s="22"/>
      <c r="K44" s="542"/>
      <c r="N44" s="672"/>
      <c r="S44" s="56" t="b">
        <v>0</v>
      </c>
      <c r="T44" t="s">
        <v>340</v>
      </c>
      <c r="W44" t="s">
        <v>341</v>
      </c>
      <c r="AD44" s="58"/>
    </row>
    <row r="45" spans="1:30" ht="15" customHeight="1">
      <c r="A45" s="560"/>
      <c r="B45" s="201">
        <f t="shared" si="2"/>
        <v>39</v>
      </c>
      <c r="C45" s="805"/>
      <c r="D45" s="22"/>
      <c r="E45" s="542"/>
      <c r="F45" s="22"/>
      <c r="G45" s="554"/>
      <c r="H45" s="22"/>
      <c r="I45" s="542"/>
      <c r="J45" s="22"/>
      <c r="K45" s="542"/>
      <c r="N45" s="672"/>
      <c r="T45" s="65" t="s">
        <v>142</v>
      </c>
      <c r="W45" s="428" t="s">
        <v>142</v>
      </c>
      <c r="X45" s="65"/>
      <c r="Y45" s="65"/>
      <c r="Z45" s="65"/>
      <c r="AD45" s="58"/>
    </row>
    <row r="46" spans="1:30" ht="15" customHeight="1">
      <c r="A46" s="560"/>
      <c r="B46" s="201">
        <f t="shared" si="2"/>
        <v>40</v>
      </c>
      <c r="C46" s="806"/>
      <c r="D46" s="22"/>
      <c r="E46" s="809"/>
      <c r="F46" s="22"/>
      <c r="G46" s="554"/>
      <c r="H46" s="22"/>
      <c r="I46" s="809"/>
      <c r="J46" s="22"/>
      <c r="K46" s="809"/>
      <c r="N46" s="505"/>
      <c r="T46" s="39"/>
      <c r="W46" s="9"/>
      <c r="X46" s="65"/>
      <c r="Y46" s="65"/>
      <c r="Z46" s="65"/>
      <c r="AD46" s="58"/>
    </row>
    <row r="47" spans="1:30" ht="8.1" customHeight="1" thickBot="1">
      <c r="A47" s="561"/>
      <c r="B47" s="201"/>
      <c r="C47" s="807"/>
      <c r="D47" s="111"/>
      <c r="E47" s="810"/>
      <c r="F47" s="111"/>
      <c r="G47" s="555"/>
      <c r="H47" s="111"/>
      <c r="I47" s="810"/>
      <c r="J47" s="111"/>
      <c r="K47" s="810"/>
      <c r="L47" s="59"/>
      <c r="M47" s="59"/>
      <c r="N47" s="59"/>
      <c r="O47" s="59"/>
      <c r="P47" s="59"/>
      <c r="Q47" s="59"/>
      <c r="R47" s="59"/>
      <c r="S47" s="59"/>
      <c r="T47" s="59"/>
      <c r="U47" s="59"/>
      <c r="V47" s="91"/>
      <c r="W47" s="59"/>
      <c r="X47" s="66"/>
      <c r="Y47" s="66"/>
      <c r="Z47" s="66"/>
      <c r="AA47" s="59"/>
      <c r="AB47" s="59"/>
      <c r="AC47" s="59"/>
      <c r="AD47" s="62"/>
    </row>
    <row r="48" spans="1:30" ht="15" customHeight="1" thickBot="1">
      <c r="C48" s="28"/>
      <c r="D48" s="28"/>
      <c r="E48" s="28"/>
      <c r="F48" s="28"/>
      <c r="G48" s="28"/>
      <c r="H48" s="28"/>
      <c r="I48" s="28"/>
      <c r="J48" s="28"/>
      <c r="K48" s="28"/>
      <c r="L48" s="27"/>
      <c r="M48" s="27"/>
      <c r="N48" s="27"/>
      <c r="O48" s="27"/>
      <c r="P48" s="27"/>
      <c r="Q48" s="27"/>
      <c r="R48" s="27"/>
      <c r="S48" s="27"/>
      <c r="T48" s="27"/>
      <c r="U48" s="27"/>
      <c r="V48" s="94"/>
      <c r="W48" s="27"/>
      <c r="X48" s="27"/>
      <c r="Y48" s="27"/>
      <c r="Z48" s="27"/>
      <c r="AA48" s="27"/>
      <c r="AB48" s="27"/>
      <c r="AC48" s="27"/>
      <c r="AD48" s="27"/>
    </row>
    <row r="49" spans="1:30" ht="15" customHeight="1">
      <c r="A49" s="559">
        <f>A37+1</f>
        <v>4</v>
      </c>
      <c r="B49" s="474">
        <f>(A49*10)+1</f>
        <v>41</v>
      </c>
      <c r="C49" s="804"/>
      <c r="D49" s="70"/>
      <c r="E49" s="808"/>
      <c r="F49" s="70"/>
      <c r="G49" s="553"/>
      <c r="H49" s="70"/>
      <c r="I49" s="808"/>
      <c r="J49" s="70"/>
      <c r="K49" s="808"/>
      <c r="L49" s="54"/>
      <c r="M49" s="52" t="b">
        <v>0</v>
      </c>
      <c r="N49" s="54" t="s">
        <v>325</v>
      </c>
      <c r="O49" s="54"/>
      <c r="P49" s="54"/>
      <c r="Q49" s="54" t="s">
        <v>326</v>
      </c>
      <c r="R49" s="54"/>
      <c r="S49" s="753"/>
      <c r="T49" s="54" t="s">
        <v>327</v>
      </c>
      <c r="U49" s="54"/>
      <c r="V49" s="753"/>
      <c r="W49" s="54" t="s">
        <v>328</v>
      </c>
      <c r="X49" s="54"/>
      <c r="Y49" s="753"/>
      <c r="Z49" s="54" t="s">
        <v>329</v>
      </c>
      <c r="AA49" s="54"/>
      <c r="AB49" s="753"/>
      <c r="AC49" s="54" t="s">
        <v>330</v>
      </c>
      <c r="AD49" s="63"/>
    </row>
    <row r="50" spans="1:30" ht="15" customHeight="1">
      <c r="A50" s="560"/>
      <c r="B50" s="201">
        <f t="shared" ref="B50:B58" si="3">B49+1</f>
        <v>42</v>
      </c>
      <c r="C50" s="805"/>
      <c r="D50" s="22"/>
      <c r="E50" s="542"/>
      <c r="F50" s="22"/>
      <c r="G50" s="554"/>
      <c r="H50" s="22"/>
      <c r="I50" s="542"/>
      <c r="J50" s="22"/>
      <c r="K50" s="542"/>
      <c r="M50" s="56" t="b">
        <v>0</v>
      </c>
      <c r="N50" t="s">
        <v>331</v>
      </c>
      <c r="Q50" s="425" t="s">
        <v>140</v>
      </c>
      <c r="S50" s="754"/>
      <c r="T50" s="425" t="s">
        <v>140</v>
      </c>
      <c r="V50" s="754"/>
      <c r="W50" s="425" t="s">
        <v>140</v>
      </c>
      <c r="Y50" s="754"/>
      <c r="Z50" s="425" t="s">
        <v>140</v>
      </c>
      <c r="AB50" s="754"/>
      <c r="AC50" s="425" t="s">
        <v>140</v>
      </c>
      <c r="AD50" s="58"/>
    </row>
    <row r="51" spans="1:30" ht="15" customHeight="1">
      <c r="A51" s="560"/>
      <c r="B51" s="201">
        <f t="shared" si="3"/>
        <v>43</v>
      </c>
      <c r="C51" s="805"/>
      <c r="D51" s="22"/>
      <c r="E51" s="542"/>
      <c r="F51" s="22"/>
      <c r="G51" s="554"/>
      <c r="H51" s="22"/>
      <c r="I51" s="542"/>
      <c r="J51" s="22"/>
      <c r="K51" s="542"/>
      <c r="M51" s="56" t="b">
        <v>0</v>
      </c>
      <c r="N51" t="s">
        <v>332</v>
      </c>
      <c r="Q51" s="5"/>
      <c r="T51" s="9"/>
      <c r="W51" s="9"/>
      <c r="Z51" s="9"/>
      <c r="AC51" s="9"/>
      <c r="AD51" s="58"/>
    </row>
    <row r="52" spans="1:30" ht="3.95" customHeight="1">
      <c r="A52" s="560"/>
      <c r="B52" s="201">
        <f t="shared" si="3"/>
        <v>44</v>
      </c>
      <c r="C52" s="805"/>
      <c r="D52" s="22"/>
      <c r="E52" s="542"/>
      <c r="F52" s="22"/>
      <c r="G52" s="554"/>
      <c r="H52" s="22"/>
      <c r="I52" s="542"/>
      <c r="J52" s="22"/>
      <c r="K52" s="542"/>
      <c r="Q52" s="3"/>
      <c r="AD52" s="58"/>
    </row>
    <row r="53" spans="1:30" ht="15" customHeight="1">
      <c r="A53" s="560"/>
      <c r="B53" s="201">
        <f t="shared" si="3"/>
        <v>45</v>
      </c>
      <c r="C53" s="805"/>
      <c r="D53" s="22"/>
      <c r="E53" s="542"/>
      <c r="F53" s="22"/>
      <c r="G53" s="554"/>
      <c r="H53" s="22"/>
      <c r="I53" s="542"/>
      <c r="J53" s="22"/>
      <c r="K53" s="542"/>
      <c r="M53" s="56" t="b">
        <v>0</v>
      </c>
      <c r="N53" t="s">
        <v>333</v>
      </c>
      <c r="Q53" s="8"/>
      <c r="S53" s="40" t="b">
        <v>0</v>
      </c>
      <c r="T53" s="39" t="s">
        <v>334</v>
      </c>
      <c r="V53" s="106" t="b">
        <v>0</v>
      </c>
      <c r="W53" t="s">
        <v>335</v>
      </c>
      <c r="Y53" s="802" t="b">
        <v>0</v>
      </c>
      <c r="Z53" t="s">
        <v>336</v>
      </c>
      <c r="AD53" s="58"/>
    </row>
    <row r="54" spans="1:30" ht="3.95" customHeight="1">
      <c r="A54" s="560"/>
      <c r="B54" s="201">
        <f t="shared" si="3"/>
        <v>46</v>
      </c>
      <c r="C54" s="805"/>
      <c r="D54" s="22"/>
      <c r="E54" s="542"/>
      <c r="F54" s="22"/>
      <c r="G54" s="554"/>
      <c r="H54" s="22"/>
      <c r="I54" s="542"/>
      <c r="J54" s="22"/>
      <c r="K54" s="542"/>
      <c r="Q54" s="8"/>
      <c r="S54" s="39"/>
      <c r="T54" s="39"/>
      <c r="Y54" s="802"/>
      <c r="AD54" s="58"/>
    </row>
    <row r="55" spans="1:30" ht="15" customHeight="1">
      <c r="A55" s="560"/>
      <c r="B55" s="201">
        <f t="shared" si="3"/>
        <v>47</v>
      </c>
      <c r="C55" s="805"/>
      <c r="D55" s="22"/>
      <c r="E55" s="542"/>
      <c r="F55" s="22"/>
      <c r="G55" s="554"/>
      <c r="H55" s="22"/>
      <c r="I55" s="542"/>
      <c r="J55" s="22"/>
      <c r="K55" s="542"/>
      <c r="N55" s="65" t="s">
        <v>140</v>
      </c>
      <c r="S55" s="803" t="s">
        <v>337</v>
      </c>
      <c r="T55" s="803"/>
      <c r="V55" s="803" t="s">
        <v>338</v>
      </c>
      <c r="W55" s="803"/>
      <c r="Y55" s="802"/>
      <c r="AD55" s="58"/>
    </row>
    <row r="56" spans="1:30" ht="15" customHeight="1">
      <c r="A56" s="560"/>
      <c r="B56" s="201">
        <f t="shared" si="3"/>
        <v>48</v>
      </c>
      <c r="C56" s="805"/>
      <c r="D56" s="22"/>
      <c r="E56" s="542"/>
      <c r="F56" s="22"/>
      <c r="G56" s="554"/>
      <c r="H56" s="22"/>
      <c r="I56" s="542"/>
      <c r="J56" s="22"/>
      <c r="K56" s="542"/>
      <c r="N56" s="672"/>
      <c r="S56" s="56" t="b">
        <v>0</v>
      </c>
      <c r="T56" t="s">
        <v>340</v>
      </c>
      <c r="W56" t="s">
        <v>341</v>
      </c>
      <c r="AD56" s="58"/>
    </row>
    <row r="57" spans="1:30" ht="15" customHeight="1">
      <c r="A57" s="560"/>
      <c r="B57" s="201">
        <f t="shared" si="3"/>
        <v>49</v>
      </c>
      <c r="C57" s="805"/>
      <c r="D57" s="22"/>
      <c r="E57" s="542"/>
      <c r="F57" s="22"/>
      <c r="G57" s="554"/>
      <c r="H57" s="22"/>
      <c r="I57" s="542"/>
      <c r="J57" s="22"/>
      <c r="K57" s="542"/>
      <c r="N57" s="672"/>
      <c r="T57" s="65" t="s">
        <v>142</v>
      </c>
      <c r="W57" s="428" t="s">
        <v>142</v>
      </c>
      <c r="X57" s="65"/>
      <c r="Y57" s="65"/>
      <c r="Z57" s="65"/>
      <c r="AD57" s="58"/>
    </row>
    <row r="58" spans="1:30" ht="15" customHeight="1">
      <c r="A58" s="560"/>
      <c r="B58" s="201">
        <f t="shared" si="3"/>
        <v>50</v>
      </c>
      <c r="C58" s="806"/>
      <c r="D58" s="22"/>
      <c r="E58" s="809"/>
      <c r="F58" s="22"/>
      <c r="G58" s="554"/>
      <c r="H58" s="22"/>
      <c r="I58" s="809"/>
      <c r="J58" s="22"/>
      <c r="K58" s="809"/>
      <c r="N58" s="505"/>
      <c r="T58" s="39"/>
      <c r="W58" s="9"/>
      <c r="X58" s="65"/>
      <c r="Y58" s="65"/>
      <c r="Z58" s="65"/>
      <c r="AD58" s="58"/>
    </row>
    <row r="59" spans="1:30" ht="8.1" customHeight="1" thickBot="1">
      <c r="A59" s="561"/>
      <c r="B59" s="201"/>
      <c r="C59" s="807"/>
      <c r="D59" s="111"/>
      <c r="E59" s="810"/>
      <c r="F59" s="111"/>
      <c r="G59" s="555"/>
      <c r="H59" s="111"/>
      <c r="I59" s="810"/>
      <c r="J59" s="111"/>
      <c r="K59" s="810"/>
      <c r="L59" s="59"/>
      <c r="M59" s="59"/>
      <c r="N59" s="59"/>
      <c r="O59" s="59"/>
      <c r="P59" s="59"/>
      <c r="Q59" s="59"/>
      <c r="R59" s="59"/>
      <c r="S59" s="59"/>
      <c r="T59" s="59"/>
      <c r="U59" s="59"/>
      <c r="V59" s="91"/>
      <c r="W59" s="59"/>
      <c r="X59" s="66"/>
      <c r="Y59" s="66"/>
      <c r="Z59" s="66"/>
      <c r="AA59" s="59"/>
      <c r="AB59" s="59"/>
      <c r="AC59" s="59"/>
      <c r="AD59" s="62"/>
    </row>
    <row r="60" spans="1:30" ht="15" customHeight="1" thickBot="1">
      <c r="C60" s="28"/>
      <c r="D60" s="28"/>
      <c r="E60" s="28"/>
      <c r="F60" s="28"/>
      <c r="G60" s="28"/>
      <c r="H60" s="28"/>
      <c r="I60" s="28"/>
      <c r="J60" s="28"/>
      <c r="K60" s="28"/>
      <c r="L60" s="27"/>
      <c r="M60" s="27"/>
      <c r="N60" s="27"/>
      <c r="O60" s="27"/>
      <c r="P60" s="27"/>
      <c r="Q60" s="27"/>
      <c r="R60" s="27"/>
      <c r="S60" s="27"/>
      <c r="T60" s="27"/>
      <c r="U60" s="27"/>
      <c r="V60" s="94"/>
      <c r="W60" s="27"/>
      <c r="X60" s="27"/>
      <c r="Y60" s="27"/>
      <c r="Z60" s="27"/>
      <c r="AA60" s="27"/>
      <c r="AB60" s="27"/>
      <c r="AC60" s="27"/>
      <c r="AD60" s="27"/>
    </row>
    <row r="61" spans="1:30" ht="15" customHeight="1">
      <c r="A61" s="559">
        <f>A49+1</f>
        <v>5</v>
      </c>
      <c r="B61" s="474">
        <f>(A61*10)+1</f>
        <v>51</v>
      </c>
      <c r="C61" s="804"/>
      <c r="D61" s="70"/>
      <c r="E61" s="808"/>
      <c r="F61" s="70"/>
      <c r="G61" s="553"/>
      <c r="H61" s="70"/>
      <c r="I61" s="808"/>
      <c r="J61" s="70"/>
      <c r="K61" s="808"/>
      <c r="L61" s="54"/>
      <c r="M61" s="52" t="b">
        <v>0</v>
      </c>
      <c r="N61" s="54" t="s">
        <v>325</v>
      </c>
      <c r="O61" s="54"/>
      <c r="P61" s="54"/>
      <c r="Q61" s="54" t="s">
        <v>326</v>
      </c>
      <c r="R61" s="54"/>
      <c r="S61" s="753"/>
      <c r="T61" s="54" t="s">
        <v>327</v>
      </c>
      <c r="U61" s="54"/>
      <c r="V61" s="753"/>
      <c r="W61" s="54" t="s">
        <v>328</v>
      </c>
      <c r="X61" s="54"/>
      <c r="Y61" s="753"/>
      <c r="Z61" s="54" t="s">
        <v>329</v>
      </c>
      <c r="AA61" s="54"/>
      <c r="AB61" s="753"/>
      <c r="AC61" s="54" t="s">
        <v>330</v>
      </c>
      <c r="AD61" s="63"/>
    </row>
    <row r="62" spans="1:30" ht="15" customHeight="1">
      <c r="A62" s="560"/>
      <c r="B62" s="201">
        <f t="shared" ref="B62:B70" si="4">B61+1</f>
        <v>52</v>
      </c>
      <c r="C62" s="805"/>
      <c r="D62" s="22"/>
      <c r="E62" s="542"/>
      <c r="F62" s="22"/>
      <c r="G62" s="554"/>
      <c r="H62" s="22"/>
      <c r="I62" s="542"/>
      <c r="J62" s="22"/>
      <c r="K62" s="542"/>
      <c r="M62" s="56" t="b">
        <v>0</v>
      </c>
      <c r="N62" t="s">
        <v>331</v>
      </c>
      <c r="Q62" s="425" t="s">
        <v>140</v>
      </c>
      <c r="S62" s="754"/>
      <c r="T62" s="425" t="s">
        <v>140</v>
      </c>
      <c r="V62" s="754"/>
      <c r="W62" s="425" t="s">
        <v>140</v>
      </c>
      <c r="Y62" s="754"/>
      <c r="Z62" s="425" t="s">
        <v>140</v>
      </c>
      <c r="AB62" s="754"/>
      <c r="AC62" s="425" t="s">
        <v>140</v>
      </c>
      <c r="AD62" s="58"/>
    </row>
    <row r="63" spans="1:30" ht="15" customHeight="1">
      <c r="A63" s="560"/>
      <c r="B63" s="201">
        <f t="shared" si="4"/>
        <v>53</v>
      </c>
      <c r="C63" s="805"/>
      <c r="D63" s="22"/>
      <c r="E63" s="542"/>
      <c r="F63" s="22"/>
      <c r="G63" s="554"/>
      <c r="H63" s="22"/>
      <c r="I63" s="542"/>
      <c r="J63" s="22"/>
      <c r="K63" s="542"/>
      <c r="M63" s="56" t="b">
        <v>0</v>
      </c>
      <c r="N63" t="s">
        <v>332</v>
      </c>
      <c r="Q63" s="5"/>
      <c r="T63" s="9"/>
      <c r="W63" s="9"/>
      <c r="Z63" s="9"/>
      <c r="AC63" s="9"/>
      <c r="AD63" s="58"/>
    </row>
    <row r="64" spans="1:30" ht="3.95" customHeight="1">
      <c r="A64" s="560"/>
      <c r="B64" s="201">
        <f t="shared" si="4"/>
        <v>54</v>
      </c>
      <c r="C64" s="805"/>
      <c r="D64" s="22"/>
      <c r="E64" s="542"/>
      <c r="F64" s="22"/>
      <c r="G64" s="554"/>
      <c r="H64" s="22"/>
      <c r="I64" s="542"/>
      <c r="J64" s="22"/>
      <c r="K64" s="542"/>
      <c r="Q64" s="3"/>
      <c r="AD64" s="58"/>
    </row>
    <row r="65" spans="1:30" ht="15" customHeight="1">
      <c r="A65" s="560"/>
      <c r="B65" s="201">
        <f t="shared" si="4"/>
        <v>55</v>
      </c>
      <c r="C65" s="805"/>
      <c r="D65" s="22"/>
      <c r="E65" s="542"/>
      <c r="F65" s="22"/>
      <c r="G65" s="554"/>
      <c r="H65" s="22"/>
      <c r="I65" s="542"/>
      <c r="J65" s="22"/>
      <c r="K65" s="542"/>
      <c r="M65" s="56" t="b">
        <v>0</v>
      </c>
      <c r="N65" t="s">
        <v>333</v>
      </c>
      <c r="Q65" s="8"/>
      <c r="S65" s="40" t="b">
        <v>0</v>
      </c>
      <c r="T65" s="39" t="s">
        <v>334</v>
      </c>
      <c r="V65" s="106" t="b">
        <v>0</v>
      </c>
      <c r="W65" t="s">
        <v>335</v>
      </c>
      <c r="Y65" s="802" t="b">
        <v>0</v>
      </c>
      <c r="Z65" t="s">
        <v>336</v>
      </c>
      <c r="AD65" s="58"/>
    </row>
    <row r="66" spans="1:30" ht="3.95" customHeight="1">
      <c r="A66" s="560"/>
      <c r="B66" s="201">
        <f t="shared" si="4"/>
        <v>56</v>
      </c>
      <c r="C66" s="805"/>
      <c r="D66" s="22"/>
      <c r="E66" s="542"/>
      <c r="F66" s="22"/>
      <c r="G66" s="554"/>
      <c r="H66" s="22"/>
      <c r="I66" s="542"/>
      <c r="J66" s="22"/>
      <c r="K66" s="542"/>
      <c r="Q66" s="8"/>
      <c r="S66" s="39"/>
      <c r="T66" s="39"/>
      <c r="Y66" s="802"/>
      <c r="AD66" s="58"/>
    </row>
    <row r="67" spans="1:30" ht="15" customHeight="1">
      <c r="A67" s="560"/>
      <c r="B67" s="201">
        <f t="shared" si="4"/>
        <v>57</v>
      </c>
      <c r="C67" s="805"/>
      <c r="D67" s="22"/>
      <c r="E67" s="542"/>
      <c r="F67" s="22"/>
      <c r="G67" s="554"/>
      <c r="H67" s="22"/>
      <c r="I67" s="542"/>
      <c r="J67" s="22"/>
      <c r="K67" s="542"/>
      <c r="N67" s="65" t="s">
        <v>140</v>
      </c>
      <c r="S67" s="803" t="s">
        <v>337</v>
      </c>
      <c r="T67" s="803"/>
      <c r="V67" s="803" t="s">
        <v>338</v>
      </c>
      <c r="W67" s="803"/>
      <c r="Y67" s="802"/>
      <c r="AD67" s="58"/>
    </row>
    <row r="68" spans="1:30" ht="15" customHeight="1">
      <c r="A68" s="560"/>
      <c r="B68" s="201">
        <f t="shared" si="4"/>
        <v>58</v>
      </c>
      <c r="C68" s="805"/>
      <c r="D68" s="22"/>
      <c r="E68" s="542"/>
      <c r="F68" s="22"/>
      <c r="G68" s="554"/>
      <c r="H68" s="22"/>
      <c r="I68" s="542"/>
      <c r="J68" s="22"/>
      <c r="K68" s="542"/>
      <c r="N68" s="672"/>
      <c r="S68" s="56" t="b">
        <v>0</v>
      </c>
      <c r="T68" t="s">
        <v>340</v>
      </c>
      <c r="W68" t="s">
        <v>341</v>
      </c>
      <c r="AD68" s="58"/>
    </row>
    <row r="69" spans="1:30" ht="15" customHeight="1">
      <c r="A69" s="560"/>
      <c r="B69" s="201">
        <f t="shared" si="4"/>
        <v>59</v>
      </c>
      <c r="C69" s="805"/>
      <c r="D69" s="22"/>
      <c r="E69" s="542"/>
      <c r="F69" s="22"/>
      <c r="G69" s="554"/>
      <c r="H69" s="22"/>
      <c r="I69" s="542"/>
      <c r="J69" s="22"/>
      <c r="K69" s="542"/>
      <c r="N69" s="672"/>
      <c r="T69" s="65" t="s">
        <v>142</v>
      </c>
      <c r="W69" s="428" t="s">
        <v>142</v>
      </c>
      <c r="X69" s="65"/>
      <c r="Y69" s="65"/>
      <c r="Z69" s="65"/>
      <c r="AD69" s="58"/>
    </row>
    <row r="70" spans="1:30" ht="15" customHeight="1">
      <c r="A70" s="560"/>
      <c r="B70" s="201">
        <f t="shared" si="4"/>
        <v>60</v>
      </c>
      <c r="C70" s="806"/>
      <c r="D70" s="22"/>
      <c r="E70" s="809"/>
      <c r="F70" s="22"/>
      <c r="G70" s="554"/>
      <c r="H70" s="22"/>
      <c r="I70" s="809"/>
      <c r="J70" s="22"/>
      <c r="K70" s="809"/>
      <c r="N70" s="505"/>
      <c r="T70" s="39"/>
      <c r="W70" s="9"/>
      <c r="X70" s="65"/>
      <c r="Y70" s="65"/>
      <c r="Z70" s="65"/>
      <c r="AD70" s="58"/>
    </row>
    <row r="71" spans="1:30" ht="8.1" customHeight="1" thickBot="1">
      <c r="A71" s="561"/>
      <c r="B71" s="201"/>
      <c r="C71" s="807"/>
      <c r="D71" s="111"/>
      <c r="E71" s="810"/>
      <c r="F71" s="111"/>
      <c r="G71" s="555"/>
      <c r="H71" s="111"/>
      <c r="I71" s="810"/>
      <c r="J71" s="111"/>
      <c r="K71" s="810"/>
      <c r="L71" s="59"/>
      <c r="M71" s="59"/>
      <c r="N71" s="59"/>
      <c r="O71" s="59"/>
      <c r="P71" s="59"/>
      <c r="Q71" s="59"/>
      <c r="R71" s="59"/>
      <c r="S71" s="59"/>
      <c r="T71" s="59"/>
      <c r="U71" s="59"/>
      <c r="V71" s="91"/>
      <c r="W71" s="59"/>
      <c r="X71" s="66"/>
      <c r="Y71" s="66"/>
      <c r="Z71" s="66"/>
      <c r="AA71" s="59"/>
      <c r="AB71" s="59"/>
      <c r="AC71" s="59"/>
      <c r="AD71" s="62"/>
    </row>
    <row r="72" spans="1:30" ht="15" customHeight="1" thickBot="1">
      <c r="C72" s="28"/>
      <c r="D72" s="28"/>
      <c r="E72" s="28"/>
      <c r="F72" s="28"/>
      <c r="G72" s="28"/>
      <c r="H72" s="28"/>
      <c r="I72" s="28"/>
      <c r="J72" s="28"/>
      <c r="K72" s="28"/>
      <c r="L72" s="27"/>
      <c r="M72" s="27"/>
      <c r="N72" s="27"/>
      <c r="O72" s="27"/>
      <c r="P72" s="27"/>
      <c r="Q72" s="27"/>
      <c r="R72" s="27"/>
      <c r="S72" s="27"/>
      <c r="T72" s="27"/>
      <c r="U72" s="27"/>
      <c r="V72" s="94"/>
      <c r="W72" s="27"/>
      <c r="X72" s="27"/>
      <c r="Y72" s="27"/>
      <c r="Z72" s="27"/>
      <c r="AA72" s="27"/>
      <c r="AB72" s="27"/>
      <c r="AC72" s="27"/>
      <c r="AD72" s="27"/>
    </row>
    <row r="73" spans="1:30" ht="15" customHeight="1">
      <c r="A73" s="559">
        <f>A61+1</f>
        <v>6</v>
      </c>
      <c r="B73" s="474">
        <f>(A73*10)+1</f>
        <v>61</v>
      </c>
      <c r="C73" s="804"/>
      <c r="D73" s="70"/>
      <c r="E73" s="808"/>
      <c r="F73" s="70"/>
      <c r="G73" s="553"/>
      <c r="H73" s="70"/>
      <c r="I73" s="808"/>
      <c r="J73" s="70"/>
      <c r="K73" s="808"/>
      <c r="L73" s="54"/>
      <c r="M73" s="52" t="b">
        <v>0</v>
      </c>
      <c r="N73" s="54" t="s">
        <v>325</v>
      </c>
      <c r="O73" s="54"/>
      <c r="P73" s="54"/>
      <c r="Q73" s="54" t="s">
        <v>326</v>
      </c>
      <c r="R73" s="54"/>
      <c r="S73" s="753"/>
      <c r="T73" s="54" t="s">
        <v>327</v>
      </c>
      <c r="U73" s="54"/>
      <c r="V73" s="753"/>
      <c r="W73" s="54" t="s">
        <v>328</v>
      </c>
      <c r="X73" s="54"/>
      <c r="Y73" s="753"/>
      <c r="Z73" s="54" t="s">
        <v>329</v>
      </c>
      <c r="AA73" s="54"/>
      <c r="AB73" s="753"/>
      <c r="AC73" s="54" t="s">
        <v>330</v>
      </c>
      <c r="AD73" s="63"/>
    </row>
    <row r="74" spans="1:30" ht="15" customHeight="1">
      <c r="A74" s="560"/>
      <c r="B74" s="201">
        <f t="shared" ref="B74:B82" si="5">B73+1</f>
        <v>62</v>
      </c>
      <c r="C74" s="805"/>
      <c r="D74" s="22"/>
      <c r="E74" s="542"/>
      <c r="F74" s="22"/>
      <c r="G74" s="554"/>
      <c r="H74" s="22"/>
      <c r="I74" s="542"/>
      <c r="J74" s="22"/>
      <c r="K74" s="542"/>
      <c r="M74" s="56" t="b">
        <v>0</v>
      </c>
      <c r="N74" t="s">
        <v>331</v>
      </c>
      <c r="Q74" s="425" t="s">
        <v>140</v>
      </c>
      <c r="S74" s="754"/>
      <c r="T74" s="425" t="s">
        <v>140</v>
      </c>
      <c r="V74" s="754"/>
      <c r="W74" s="425" t="s">
        <v>140</v>
      </c>
      <c r="Y74" s="754"/>
      <c r="Z74" s="425" t="s">
        <v>140</v>
      </c>
      <c r="AB74" s="754"/>
      <c r="AC74" s="425" t="s">
        <v>140</v>
      </c>
      <c r="AD74" s="58"/>
    </row>
    <row r="75" spans="1:30" ht="15" customHeight="1">
      <c r="A75" s="560"/>
      <c r="B75" s="201">
        <f t="shared" si="5"/>
        <v>63</v>
      </c>
      <c r="C75" s="805"/>
      <c r="D75" s="22"/>
      <c r="E75" s="542"/>
      <c r="F75" s="22"/>
      <c r="G75" s="554"/>
      <c r="H75" s="22"/>
      <c r="I75" s="542"/>
      <c r="J75" s="22"/>
      <c r="K75" s="542"/>
      <c r="M75" s="56" t="b">
        <v>0</v>
      </c>
      <c r="N75" t="s">
        <v>332</v>
      </c>
      <c r="Q75" s="5"/>
      <c r="T75" s="9"/>
      <c r="W75" s="9"/>
      <c r="Z75" s="9"/>
      <c r="AC75" s="9"/>
      <c r="AD75" s="58"/>
    </row>
    <row r="76" spans="1:30" ht="3.95" customHeight="1">
      <c r="A76" s="560"/>
      <c r="B76" s="201">
        <f t="shared" si="5"/>
        <v>64</v>
      </c>
      <c r="C76" s="805"/>
      <c r="D76" s="22"/>
      <c r="E76" s="542"/>
      <c r="F76" s="22"/>
      <c r="G76" s="554"/>
      <c r="H76" s="22"/>
      <c r="I76" s="542"/>
      <c r="J76" s="22"/>
      <c r="K76" s="542"/>
      <c r="Q76" s="3"/>
      <c r="AD76" s="58"/>
    </row>
    <row r="77" spans="1:30" ht="15" customHeight="1">
      <c r="A77" s="560"/>
      <c r="B77" s="201">
        <f t="shared" si="5"/>
        <v>65</v>
      </c>
      <c r="C77" s="805"/>
      <c r="D77" s="22"/>
      <c r="E77" s="542"/>
      <c r="F77" s="22"/>
      <c r="G77" s="554"/>
      <c r="H77" s="22"/>
      <c r="I77" s="542"/>
      <c r="J77" s="22"/>
      <c r="K77" s="542"/>
      <c r="M77" s="56" t="b">
        <v>0</v>
      </c>
      <c r="N77" t="s">
        <v>333</v>
      </c>
      <c r="Q77" s="8"/>
      <c r="S77" s="40" t="b">
        <v>0</v>
      </c>
      <c r="T77" s="39" t="s">
        <v>334</v>
      </c>
      <c r="V77" s="106" t="b">
        <v>0</v>
      </c>
      <c r="W77" t="s">
        <v>335</v>
      </c>
      <c r="Y77" s="802" t="b">
        <v>0</v>
      </c>
      <c r="Z77" t="s">
        <v>336</v>
      </c>
      <c r="AD77" s="58"/>
    </row>
    <row r="78" spans="1:30" ht="3.95" customHeight="1">
      <c r="A78" s="560"/>
      <c r="B78" s="201">
        <f t="shared" si="5"/>
        <v>66</v>
      </c>
      <c r="C78" s="805"/>
      <c r="D78" s="22"/>
      <c r="E78" s="542"/>
      <c r="F78" s="22"/>
      <c r="G78" s="554"/>
      <c r="H78" s="22"/>
      <c r="I78" s="542"/>
      <c r="J78" s="22"/>
      <c r="K78" s="542"/>
      <c r="Q78" s="8"/>
      <c r="S78" s="39"/>
      <c r="T78" s="39"/>
      <c r="Y78" s="802"/>
      <c r="AD78" s="58"/>
    </row>
    <row r="79" spans="1:30" ht="15" customHeight="1">
      <c r="A79" s="560"/>
      <c r="B79" s="201">
        <f t="shared" si="5"/>
        <v>67</v>
      </c>
      <c r="C79" s="805"/>
      <c r="D79" s="22"/>
      <c r="E79" s="542"/>
      <c r="F79" s="22"/>
      <c r="G79" s="554"/>
      <c r="H79" s="22"/>
      <c r="I79" s="542"/>
      <c r="J79" s="22"/>
      <c r="K79" s="542"/>
      <c r="N79" s="65" t="s">
        <v>140</v>
      </c>
      <c r="S79" s="803" t="s">
        <v>337</v>
      </c>
      <c r="T79" s="803"/>
      <c r="V79" s="803" t="s">
        <v>338</v>
      </c>
      <c r="W79" s="803"/>
      <c r="Y79" s="802"/>
      <c r="AD79" s="58"/>
    </row>
    <row r="80" spans="1:30" ht="15" customHeight="1">
      <c r="A80" s="560"/>
      <c r="B80" s="201">
        <f t="shared" si="5"/>
        <v>68</v>
      </c>
      <c r="C80" s="805"/>
      <c r="D80" s="22"/>
      <c r="E80" s="542"/>
      <c r="F80" s="22"/>
      <c r="G80" s="554"/>
      <c r="H80" s="22"/>
      <c r="I80" s="542"/>
      <c r="J80" s="22"/>
      <c r="K80" s="542"/>
      <c r="N80" s="672"/>
      <c r="S80" s="56" t="b">
        <v>0</v>
      </c>
      <c r="T80" t="s">
        <v>340</v>
      </c>
      <c r="W80" t="s">
        <v>341</v>
      </c>
      <c r="AD80" s="58"/>
    </row>
    <row r="81" spans="1:30" ht="15" customHeight="1">
      <c r="A81" s="560"/>
      <c r="B81" s="201">
        <f t="shared" si="5"/>
        <v>69</v>
      </c>
      <c r="C81" s="805"/>
      <c r="D81" s="22"/>
      <c r="E81" s="542"/>
      <c r="F81" s="22"/>
      <c r="G81" s="554"/>
      <c r="H81" s="22"/>
      <c r="I81" s="542"/>
      <c r="J81" s="22"/>
      <c r="K81" s="542"/>
      <c r="N81" s="672"/>
      <c r="T81" s="65" t="s">
        <v>142</v>
      </c>
      <c r="W81" s="428" t="s">
        <v>142</v>
      </c>
      <c r="X81" s="65"/>
      <c r="Y81" s="65"/>
      <c r="Z81" s="65"/>
      <c r="AD81" s="58"/>
    </row>
    <row r="82" spans="1:30" ht="15" customHeight="1">
      <c r="A82" s="560"/>
      <c r="B82" s="201">
        <f t="shared" si="5"/>
        <v>70</v>
      </c>
      <c r="C82" s="806"/>
      <c r="D82" s="22"/>
      <c r="E82" s="809"/>
      <c r="F82" s="22"/>
      <c r="G82" s="554"/>
      <c r="H82" s="22"/>
      <c r="I82" s="809"/>
      <c r="J82" s="22"/>
      <c r="K82" s="809"/>
      <c r="N82" s="505"/>
      <c r="T82" s="39"/>
      <c r="W82" s="9"/>
      <c r="X82" s="65"/>
      <c r="Y82" s="65"/>
      <c r="Z82" s="65"/>
      <c r="AD82" s="58"/>
    </row>
    <row r="83" spans="1:30" ht="8.1" customHeight="1" thickBot="1">
      <c r="A83" s="561"/>
      <c r="B83" s="201"/>
      <c r="C83" s="807"/>
      <c r="D83" s="111"/>
      <c r="E83" s="810"/>
      <c r="F83" s="111"/>
      <c r="G83" s="555"/>
      <c r="H83" s="111"/>
      <c r="I83" s="810"/>
      <c r="J83" s="111"/>
      <c r="K83" s="810"/>
      <c r="L83" s="59"/>
      <c r="M83" s="59"/>
      <c r="N83" s="59"/>
      <c r="O83" s="59"/>
      <c r="P83" s="59"/>
      <c r="Q83" s="59"/>
      <c r="R83" s="59"/>
      <c r="S83" s="59"/>
      <c r="T83" s="59"/>
      <c r="U83" s="59"/>
      <c r="V83" s="91"/>
      <c r="W83" s="59"/>
      <c r="X83" s="66"/>
      <c r="Y83" s="66"/>
      <c r="Z83" s="66"/>
      <c r="AA83" s="59"/>
      <c r="AB83" s="59"/>
      <c r="AC83" s="59"/>
      <c r="AD83" s="62"/>
    </row>
    <row r="84" spans="1:30" ht="15" customHeight="1" thickBot="1">
      <c r="C84" s="28"/>
      <c r="D84" s="28"/>
      <c r="E84" s="28"/>
      <c r="F84" s="28"/>
      <c r="G84" s="28"/>
      <c r="H84" s="28"/>
      <c r="I84" s="28"/>
      <c r="J84" s="28"/>
      <c r="K84" s="28"/>
      <c r="L84" s="27"/>
      <c r="M84" s="27"/>
      <c r="N84" s="27"/>
      <c r="O84" s="27"/>
      <c r="P84" s="27"/>
      <c r="Q84" s="27"/>
      <c r="R84" s="27"/>
      <c r="S84" s="27"/>
      <c r="T84" s="27"/>
      <c r="U84" s="27"/>
      <c r="V84" s="94"/>
      <c r="W84" s="27"/>
      <c r="X84" s="27"/>
      <c r="Y84" s="27"/>
      <c r="Z84" s="27"/>
      <c r="AA84" s="27"/>
      <c r="AB84" s="27"/>
      <c r="AC84" s="27"/>
      <c r="AD84" s="27"/>
    </row>
    <row r="85" spans="1:30" ht="15" customHeight="1">
      <c r="A85" s="559">
        <f>A73+1</f>
        <v>7</v>
      </c>
      <c r="B85" s="474">
        <f>(A85*10)+1</f>
        <v>71</v>
      </c>
      <c r="C85" s="804"/>
      <c r="D85" s="70"/>
      <c r="E85" s="808"/>
      <c r="F85" s="70"/>
      <c r="G85" s="553"/>
      <c r="H85" s="70"/>
      <c r="I85" s="808"/>
      <c r="J85" s="70"/>
      <c r="K85" s="808"/>
      <c r="L85" s="54"/>
      <c r="M85" s="52" t="b">
        <v>0</v>
      </c>
      <c r="N85" s="54" t="s">
        <v>325</v>
      </c>
      <c r="O85" s="54"/>
      <c r="P85" s="54"/>
      <c r="Q85" s="54" t="s">
        <v>326</v>
      </c>
      <c r="R85" s="54"/>
      <c r="S85" s="753"/>
      <c r="T85" s="54" t="s">
        <v>327</v>
      </c>
      <c r="U85" s="54"/>
      <c r="V85" s="753"/>
      <c r="W85" s="54" t="s">
        <v>328</v>
      </c>
      <c r="X85" s="54"/>
      <c r="Y85" s="753"/>
      <c r="Z85" s="54" t="s">
        <v>329</v>
      </c>
      <c r="AA85" s="54"/>
      <c r="AB85" s="753"/>
      <c r="AC85" s="54" t="s">
        <v>330</v>
      </c>
      <c r="AD85" s="63"/>
    </row>
    <row r="86" spans="1:30" ht="15" customHeight="1">
      <c r="A86" s="560"/>
      <c r="B86" s="201">
        <f t="shared" ref="B86:B94" si="6">B85+1</f>
        <v>72</v>
      </c>
      <c r="C86" s="805"/>
      <c r="D86" s="22"/>
      <c r="E86" s="542"/>
      <c r="F86" s="22"/>
      <c r="G86" s="554"/>
      <c r="H86" s="22"/>
      <c r="I86" s="542"/>
      <c r="J86" s="22"/>
      <c r="K86" s="542"/>
      <c r="M86" s="56" t="b">
        <v>0</v>
      </c>
      <c r="N86" t="s">
        <v>331</v>
      </c>
      <c r="Q86" s="425" t="s">
        <v>140</v>
      </c>
      <c r="S86" s="754"/>
      <c r="T86" s="425" t="s">
        <v>140</v>
      </c>
      <c r="V86" s="754"/>
      <c r="W86" s="425" t="s">
        <v>140</v>
      </c>
      <c r="Y86" s="754"/>
      <c r="Z86" s="425" t="s">
        <v>140</v>
      </c>
      <c r="AB86" s="754"/>
      <c r="AC86" s="425" t="s">
        <v>140</v>
      </c>
      <c r="AD86" s="58"/>
    </row>
    <row r="87" spans="1:30" ht="15" customHeight="1">
      <c r="A87" s="560"/>
      <c r="B87" s="201">
        <f t="shared" si="6"/>
        <v>73</v>
      </c>
      <c r="C87" s="805"/>
      <c r="D87" s="22"/>
      <c r="E87" s="542"/>
      <c r="F87" s="22"/>
      <c r="G87" s="554"/>
      <c r="H87" s="22"/>
      <c r="I87" s="542"/>
      <c r="J87" s="22"/>
      <c r="K87" s="542"/>
      <c r="M87" s="56" t="b">
        <v>0</v>
      </c>
      <c r="N87" t="s">
        <v>332</v>
      </c>
      <c r="Q87" s="5"/>
      <c r="T87" s="9"/>
      <c r="W87" s="9"/>
      <c r="Z87" s="9"/>
      <c r="AC87" s="9"/>
      <c r="AD87" s="58"/>
    </row>
    <row r="88" spans="1:30" ht="3.95" customHeight="1">
      <c r="A88" s="560"/>
      <c r="B88" s="201">
        <f t="shared" si="6"/>
        <v>74</v>
      </c>
      <c r="C88" s="805"/>
      <c r="D88" s="22"/>
      <c r="E88" s="542"/>
      <c r="F88" s="22"/>
      <c r="G88" s="554"/>
      <c r="H88" s="22"/>
      <c r="I88" s="542"/>
      <c r="J88" s="22"/>
      <c r="K88" s="542"/>
      <c r="Q88" s="3"/>
      <c r="AD88" s="58"/>
    </row>
    <row r="89" spans="1:30" ht="15" customHeight="1">
      <c r="A89" s="560"/>
      <c r="B89" s="201">
        <f t="shared" si="6"/>
        <v>75</v>
      </c>
      <c r="C89" s="805"/>
      <c r="D89" s="22"/>
      <c r="E89" s="542"/>
      <c r="F89" s="22"/>
      <c r="G89" s="554"/>
      <c r="H89" s="22"/>
      <c r="I89" s="542"/>
      <c r="J89" s="22"/>
      <c r="K89" s="542"/>
      <c r="M89" s="56" t="b">
        <v>0</v>
      </c>
      <c r="N89" t="s">
        <v>333</v>
      </c>
      <c r="Q89" s="8"/>
      <c r="S89" s="40" t="b">
        <v>0</v>
      </c>
      <c r="T89" s="39" t="s">
        <v>334</v>
      </c>
      <c r="V89" s="106" t="b">
        <v>0</v>
      </c>
      <c r="W89" t="s">
        <v>335</v>
      </c>
      <c r="Y89" s="802" t="b">
        <v>0</v>
      </c>
      <c r="Z89" t="s">
        <v>336</v>
      </c>
      <c r="AD89" s="58"/>
    </row>
    <row r="90" spans="1:30" ht="3.95" customHeight="1">
      <c r="A90" s="560"/>
      <c r="B90" s="201">
        <f t="shared" si="6"/>
        <v>76</v>
      </c>
      <c r="C90" s="805"/>
      <c r="D90" s="22"/>
      <c r="E90" s="542"/>
      <c r="F90" s="22"/>
      <c r="G90" s="554"/>
      <c r="H90" s="22"/>
      <c r="I90" s="542"/>
      <c r="J90" s="22"/>
      <c r="K90" s="542"/>
      <c r="Q90" s="8"/>
      <c r="S90" s="39"/>
      <c r="T90" s="39"/>
      <c r="Y90" s="802"/>
      <c r="AD90" s="58"/>
    </row>
    <row r="91" spans="1:30" ht="15" customHeight="1">
      <c r="A91" s="560"/>
      <c r="B91" s="201">
        <f t="shared" si="6"/>
        <v>77</v>
      </c>
      <c r="C91" s="805"/>
      <c r="D91" s="22"/>
      <c r="E91" s="542"/>
      <c r="F91" s="22"/>
      <c r="G91" s="554"/>
      <c r="H91" s="22"/>
      <c r="I91" s="542"/>
      <c r="J91" s="22"/>
      <c r="K91" s="542"/>
      <c r="N91" s="65" t="s">
        <v>140</v>
      </c>
      <c r="S91" s="803" t="s">
        <v>337</v>
      </c>
      <c r="T91" s="803"/>
      <c r="V91" s="803" t="s">
        <v>338</v>
      </c>
      <c r="W91" s="803"/>
      <c r="Y91" s="802"/>
      <c r="AD91" s="58"/>
    </row>
    <row r="92" spans="1:30" ht="15" customHeight="1">
      <c r="A92" s="560"/>
      <c r="B92" s="201">
        <f t="shared" si="6"/>
        <v>78</v>
      </c>
      <c r="C92" s="805"/>
      <c r="D92" s="22"/>
      <c r="E92" s="542"/>
      <c r="F92" s="22"/>
      <c r="G92" s="554"/>
      <c r="H92" s="22"/>
      <c r="I92" s="542"/>
      <c r="J92" s="22"/>
      <c r="K92" s="542"/>
      <c r="N92" s="672"/>
      <c r="S92" s="56" t="b">
        <v>0</v>
      </c>
      <c r="T92" t="s">
        <v>340</v>
      </c>
      <c r="W92" t="s">
        <v>341</v>
      </c>
      <c r="AD92" s="58"/>
    </row>
    <row r="93" spans="1:30" ht="15" customHeight="1">
      <c r="A93" s="560"/>
      <c r="B93" s="201">
        <f t="shared" si="6"/>
        <v>79</v>
      </c>
      <c r="C93" s="805"/>
      <c r="D93" s="22"/>
      <c r="E93" s="542"/>
      <c r="F93" s="22"/>
      <c r="G93" s="554"/>
      <c r="H93" s="22"/>
      <c r="I93" s="542"/>
      <c r="J93" s="22"/>
      <c r="K93" s="542"/>
      <c r="N93" s="672"/>
      <c r="T93" s="65" t="s">
        <v>142</v>
      </c>
      <c r="W93" s="428" t="s">
        <v>142</v>
      </c>
      <c r="X93" s="65"/>
      <c r="Y93" s="65"/>
      <c r="Z93" s="65"/>
      <c r="AD93" s="58"/>
    </row>
    <row r="94" spans="1:30" ht="15" customHeight="1">
      <c r="A94" s="560"/>
      <c r="B94" s="201">
        <f t="shared" si="6"/>
        <v>80</v>
      </c>
      <c r="C94" s="806"/>
      <c r="D94" s="22"/>
      <c r="E94" s="809"/>
      <c r="F94" s="22"/>
      <c r="G94" s="554"/>
      <c r="H94" s="22"/>
      <c r="I94" s="809"/>
      <c r="J94" s="22"/>
      <c r="K94" s="809"/>
      <c r="N94" s="505"/>
      <c r="T94" s="39"/>
      <c r="W94" s="9"/>
      <c r="X94" s="65"/>
      <c r="Y94" s="65"/>
      <c r="Z94" s="65"/>
      <c r="AD94" s="58"/>
    </row>
    <row r="95" spans="1:30" ht="8.1" customHeight="1" thickBot="1">
      <c r="A95" s="561"/>
      <c r="B95" s="201"/>
      <c r="C95" s="807"/>
      <c r="D95" s="111"/>
      <c r="E95" s="810"/>
      <c r="F95" s="111"/>
      <c r="G95" s="555"/>
      <c r="H95" s="111"/>
      <c r="I95" s="810"/>
      <c r="J95" s="111"/>
      <c r="K95" s="810"/>
      <c r="L95" s="59"/>
      <c r="M95" s="59"/>
      <c r="N95" s="59"/>
      <c r="O95" s="59"/>
      <c r="P95" s="59"/>
      <c r="Q95" s="59"/>
      <c r="R95" s="59"/>
      <c r="S95" s="59"/>
      <c r="T95" s="59"/>
      <c r="U95" s="59"/>
      <c r="V95" s="91"/>
      <c r="W95" s="59"/>
      <c r="X95" s="66"/>
      <c r="Y95" s="66"/>
      <c r="Z95" s="66"/>
      <c r="AA95" s="59"/>
      <c r="AB95" s="59"/>
      <c r="AC95" s="59"/>
      <c r="AD95" s="62"/>
    </row>
    <row r="96" spans="1:30" ht="15" customHeight="1" thickBot="1">
      <c r="C96" s="28"/>
      <c r="D96" s="28"/>
      <c r="E96" s="28"/>
      <c r="F96" s="28"/>
      <c r="G96" s="28"/>
      <c r="H96" s="28"/>
      <c r="I96" s="28"/>
      <c r="J96" s="28"/>
      <c r="K96" s="28"/>
      <c r="L96" s="27"/>
      <c r="M96" s="27"/>
      <c r="N96" s="27"/>
      <c r="O96" s="27"/>
      <c r="P96" s="27"/>
      <c r="Q96" s="27"/>
      <c r="R96" s="27"/>
      <c r="S96" s="27"/>
      <c r="T96" s="27"/>
      <c r="U96" s="27"/>
      <c r="V96" s="94"/>
      <c r="W96" s="27"/>
      <c r="X96" s="27"/>
      <c r="Y96" s="27"/>
      <c r="Z96" s="27"/>
      <c r="AA96" s="27"/>
      <c r="AB96" s="27"/>
      <c r="AC96" s="27"/>
      <c r="AD96" s="27"/>
    </row>
    <row r="97" spans="1:30" ht="15" customHeight="1">
      <c r="A97" s="559">
        <f>A85+1</f>
        <v>8</v>
      </c>
      <c r="B97" s="474">
        <f>(A97*10)+1</f>
        <v>81</v>
      </c>
      <c r="C97" s="804"/>
      <c r="D97" s="70"/>
      <c r="E97" s="808"/>
      <c r="F97" s="70"/>
      <c r="G97" s="553"/>
      <c r="H97" s="70"/>
      <c r="I97" s="808"/>
      <c r="J97" s="70"/>
      <c r="K97" s="808"/>
      <c r="L97" s="54"/>
      <c r="M97" s="52" t="b">
        <v>0</v>
      </c>
      <c r="N97" s="54" t="s">
        <v>325</v>
      </c>
      <c r="O97" s="54"/>
      <c r="P97" s="54"/>
      <c r="Q97" s="54" t="s">
        <v>326</v>
      </c>
      <c r="R97" s="54"/>
      <c r="S97" s="753"/>
      <c r="T97" s="54" t="s">
        <v>327</v>
      </c>
      <c r="U97" s="54"/>
      <c r="V97" s="753"/>
      <c r="W97" s="54" t="s">
        <v>328</v>
      </c>
      <c r="X97" s="54"/>
      <c r="Y97" s="753"/>
      <c r="Z97" s="54" t="s">
        <v>329</v>
      </c>
      <c r="AA97" s="54"/>
      <c r="AB97" s="753"/>
      <c r="AC97" s="54" t="s">
        <v>330</v>
      </c>
      <c r="AD97" s="63"/>
    </row>
    <row r="98" spans="1:30" ht="15" customHeight="1">
      <c r="A98" s="560"/>
      <c r="B98" s="201">
        <f t="shared" ref="B98:B106" si="7">B97+1</f>
        <v>82</v>
      </c>
      <c r="C98" s="805"/>
      <c r="D98" s="22"/>
      <c r="E98" s="542"/>
      <c r="F98" s="22"/>
      <c r="G98" s="554"/>
      <c r="H98" s="22"/>
      <c r="I98" s="542"/>
      <c r="J98" s="22"/>
      <c r="K98" s="542"/>
      <c r="M98" s="56" t="b">
        <v>0</v>
      </c>
      <c r="N98" t="s">
        <v>331</v>
      </c>
      <c r="Q98" s="425" t="s">
        <v>140</v>
      </c>
      <c r="S98" s="754"/>
      <c r="T98" s="425" t="s">
        <v>140</v>
      </c>
      <c r="V98" s="754"/>
      <c r="W98" s="425" t="s">
        <v>140</v>
      </c>
      <c r="Y98" s="754"/>
      <c r="Z98" s="425" t="s">
        <v>140</v>
      </c>
      <c r="AB98" s="754"/>
      <c r="AC98" s="425" t="s">
        <v>140</v>
      </c>
      <c r="AD98" s="58"/>
    </row>
    <row r="99" spans="1:30" ht="15" customHeight="1">
      <c r="A99" s="560"/>
      <c r="B99" s="201">
        <f t="shared" si="7"/>
        <v>83</v>
      </c>
      <c r="C99" s="805"/>
      <c r="D99" s="22"/>
      <c r="E99" s="542"/>
      <c r="F99" s="22"/>
      <c r="G99" s="554"/>
      <c r="H99" s="22"/>
      <c r="I99" s="542"/>
      <c r="J99" s="22"/>
      <c r="K99" s="542"/>
      <c r="M99" s="56" t="b">
        <v>0</v>
      </c>
      <c r="N99" t="s">
        <v>332</v>
      </c>
      <c r="Q99" s="5"/>
      <c r="T99" s="9"/>
      <c r="W99" s="9"/>
      <c r="Z99" s="9"/>
      <c r="AC99" s="9"/>
      <c r="AD99" s="58"/>
    </row>
    <row r="100" spans="1:30" ht="3.95" customHeight="1">
      <c r="A100" s="560"/>
      <c r="B100" s="201">
        <f t="shared" si="7"/>
        <v>84</v>
      </c>
      <c r="C100" s="805"/>
      <c r="D100" s="22"/>
      <c r="E100" s="542"/>
      <c r="F100" s="22"/>
      <c r="G100" s="554"/>
      <c r="H100" s="22"/>
      <c r="I100" s="542"/>
      <c r="J100" s="22"/>
      <c r="K100" s="542"/>
      <c r="Q100" s="3"/>
      <c r="AD100" s="58"/>
    </row>
    <row r="101" spans="1:30" ht="15" customHeight="1">
      <c r="A101" s="560"/>
      <c r="B101" s="201">
        <f t="shared" si="7"/>
        <v>85</v>
      </c>
      <c r="C101" s="805"/>
      <c r="D101" s="22"/>
      <c r="E101" s="542"/>
      <c r="F101" s="22"/>
      <c r="G101" s="554"/>
      <c r="H101" s="22"/>
      <c r="I101" s="542"/>
      <c r="J101" s="22"/>
      <c r="K101" s="542"/>
      <c r="M101" s="56" t="b">
        <v>0</v>
      </c>
      <c r="N101" t="s">
        <v>333</v>
      </c>
      <c r="Q101" s="8"/>
      <c r="S101" s="40" t="b">
        <v>0</v>
      </c>
      <c r="T101" s="39" t="s">
        <v>334</v>
      </c>
      <c r="V101" s="106" t="b">
        <v>0</v>
      </c>
      <c r="W101" t="s">
        <v>335</v>
      </c>
      <c r="Y101" s="802" t="b">
        <v>0</v>
      </c>
      <c r="Z101" t="s">
        <v>336</v>
      </c>
      <c r="AD101" s="58"/>
    </row>
    <row r="102" spans="1:30" ht="3.95" customHeight="1">
      <c r="A102" s="560"/>
      <c r="B102" s="201">
        <f t="shared" si="7"/>
        <v>86</v>
      </c>
      <c r="C102" s="805"/>
      <c r="D102" s="22"/>
      <c r="E102" s="542"/>
      <c r="F102" s="22"/>
      <c r="G102" s="554"/>
      <c r="H102" s="22"/>
      <c r="I102" s="542"/>
      <c r="J102" s="22"/>
      <c r="K102" s="542"/>
      <c r="Q102" s="8"/>
      <c r="S102" s="39"/>
      <c r="T102" s="39"/>
      <c r="Y102" s="802"/>
      <c r="AD102" s="58"/>
    </row>
    <row r="103" spans="1:30" ht="15" customHeight="1">
      <c r="A103" s="560"/>
      <c r="B103" s="201">
        <f t="shared" si="7"/>
        <v>87</v>
      </c>
      <c r="C103" s="805"/>
      <c r="D103" s="22"/>
      <c r="E103" s="542"/>
      <c r="F103" s="22"/>
      <c r="G103" s="554"/>
      <c r="H103" s="22"/>
      <c r="I103" s="542"/>
      <c r="J103" s="22"/>
      <c r="K103" s="542"/>
      <c r="N103" s="65" t="s">
        <v>140</v>
      </c>
      <c r="S103" s="803" t="s">
        <v>337</v>
      </c>
      <c r="T103" s="803"/>
      <c r="V103" s="803" t="s">
        <v>338</v>
      </c>
      <c r="W103" s="803"/>
      <c r="Y103" s="802"/>
      <c r="AD103" s="58"/>
    </row>
    <row r="104" spans="1:30" ht="15" customHeight="1">
      <c r="A104" s="560"/>
      <c r="B104" s="201">
        <f t="shared" si="7"/>
        <v>88</v>
      </c>
      <c r="C104" s="805"/>
      <c r="D104" s="22"/>
      <c r="E104" s="542"/>
      <c r="F104" s="22"/>
      <c r="G104" s="554"/>
      <c r="H104" s="22"/>
      <c r="I104" s="542"/>
      <c r="J104" s="22"/>
      <c r="K104" s="542"/>
      <c r="N104" s="672"/>
      <c r="S104" s="56" t="b">
        <v>0</v>
      </c>
      <c r="T104" t="s">
        <v>340</v>
      </c>
      <c r="W104" t="s">
        <v>341</v>
      </c>
      <c r="AD104" s="58"/>
    </row>
    <row r="105" spans="1:30" ht="15" customHeight="1">
      <c r="A105" s="560"/>
      <c r="B105" s="201">
        <f t="shared" si="7"/>
        <v>89</v>
      </c>
      <c r="C105" s="805"/>
      <c r="D105" s="22"/>
      <c r="E105" s="542"/>
      <c r="F105" s="22"/>
      <c r="G105" s="554"/>
      <c r="H105" s="22"/>
      <c r="I105" s="542"/>
      <c r="J105" s="22"/>
      <c r="K105" s="542"/>
      <c r="N105" s="672"/>
      <c r="T105" s="65" t="s">
        <v>142</v>
      </c>
      <c r="W105" s="428" t="s">
        <v>142</v>
      </c>
      <c r="X105" s="65"/>
      <c r="Y105" s="65"/>
      <c r="Z105" s="65"/>
      <c r="AD105" s="58"/>
    </row>
    <row r="106" spans="1:30" ht="15" customHeight="1">
      <c r="A106" s="560"/>
      <c r="B106" s="201">
        <f t="shared" si="7"/>
        <v>90</v>
      </c>
      <c r="C106" s="806"/>
      <c r="D106" s="22"/>
      <c r="E106" s="809"/>
      <c r="F106" s="22"/>
      <c r="G106" s="554"/>
      <c r="H106" s="22"/>
      <c r="I106" s="809"/>
      <c r="J106" s="22"/>
      <c r="K106" s="809"/>
      <c r="N106" s="505"/>
      <c r="T106" s="39"/>
      <c r="W106" s="9"/>
      <c r="X106" s="65"/>
      <c r="Y106" s="65"/>
      <c r="Z106" s="65"/>
      <c r="AD106" s="58"/>
    </row>
    <row r="107" spans="1:30" ht="8.1" customHeight="1" thickBot="1">
      <c r="A107" s="561"/>
      <c r="B107" s="201"/>
      <c r="C107" s="807"/>
      <c r="D107" s="111"/>
      <c r="E107" s="810"/>
      <c r="F107" s="111"/>
      <c r="G107" s="555"/>
      <c r="H107" s="111"/>
      <c r="I107" s="810"/>
      <c r="J107" s="111"/>
      <c r="K107" s="810"/>
      <c r="L107" s="59"/>
      <c r="M107" s="59"/>
      <c r="N107" s="59"/>
      <c r="O107" s="59"/>
      <c r="P107" s="59"/>
      <c r="Q107" s="59"/>
      <c r="R107" s="59"/>
      <c r="S107" s="59"/>
      <c r="T107" s="59"/>
      <c r="U107" s="59"/>
      <c r="V107" s="91"/>
      <c r="W107" s="59"/>
      <c r="X107" s="66"/>
      <c r="Y107" s="66"/>
      <c r="Z107" s="66"/>
      <c r="AA107" s="59"/>
      <c r="AB107" s="59"/>
      <c r="AC107" s="59"/>
      <c r="AD107" s="62"/>
    </row>
    <row r="108" spans="1:30" ht="15" customHeight="1" thickBot="1">
      <c r="C108" s="28"/>
      <c r="D108" s="28"/>
      <c r="E108" s="28"/>
      <c r="F108" s="28"/>
      <c r="G108" s="28"/>
      <c r="H108" s="28"/>
      <c r="I108" s="28"/>
      <c r="J108" s="28"/>
      <c r="K108" s="28"/>
      <c r="L108" s="27"/>
      <c r="M108" s="27"/>
      <c r="N108" s="27"/>
      <c r="O108" s="27"/>
      <c r="P108" s="27"/>
      <c r="Q108" s="27"/>
      <c r="R108" s="27"/>
      <c r="S108" s="27"/>
      <c r="T108" s="27"/>
      <c r="U108" s="27"/>
      <c r="V108" s="94"/>
      <c r="W108" s="27"/>
      <c r="X108" s="27"/>
      <c r="Y108" s="27"/>
      <c r="Z108" s="27"/>
      <c r="AA108" s="27"/>
      <c r="AB108" s="27"/>
      <c r="AC108" s="27"/>
      <c r="AD108" s="27"/>
    </row>
    <row r="109" spans="1:30" ht="15" customHeight="1">
      <c r="A109" s="559">
        <f>A97+1</f>
        <v>9</v>
      </c>
      <c r="B109" s="474">
        <f>(A109*10)+1</f>
        <v>91</v>
      </c>
      <c r="C109" s="804"/>
      <c r="D109" s="70"/>
      <c r="E109" s="808"/>
      <c r="F109" s="70"/>
      <c r="G109" s="553"/>
      <c r="H109" s="70"/>
      <c r="I109" s="808"/>
      <c r="J109" s="70"/>
      <c r="K109" s="808"/>
      <c r="L109" s="54"/>
      <c r="M109" s="52" t="b">
        <v>0</v>
      </c>
      <c r="N109" s="54" t="s">
        <v>325</v>
      </c>
      <c r="O109" s="54"/>
      <c r="P109" s="54"/>
      <c r="Q109" s="54" t="s">
        <v>326</v>
      </c>
      <c r="R109" s="54"/>
      <c r="S109" s="753"/>
      <c r="T109" s="54" t="s">
        <v>327</v>
      </c>
      <c r="U109" s="54"/>
      <c r="V109" s="753"/>
      <c r="W109" s="54" t="s">
        <v>328</v>
      </c>
      <c r="X109" s="54"/>
      <c r="Y109" s="753"/>
      <c r="Z109" s="54" t="s">
        <v>329</v>
      </c>
      <c r="AA109" s="54"/>
      <c r="AB109" s="753"/>
      <c r="AC109" s="54" t="s">
        <v>330</v>
      </c>
      <c r="AD109" s="63"/>
    </row>
    <row r="110" spans="1:30" ht="15" customHeight="1">
      <c r="A110" s="560"/>
      <c r="B110" s="201">
        <f t="shared" ref="B110:B118" si="8">B109+1</f>
        <v>92</v>
      </c>
      <c r="C110" s="805"/>
      <c r="D110" s="22"/>
      <c r="E110" s="542"/>
      <c r="F110" s="22"/>
      <c r="G110" s="554"/>
      <c r="H110" s="22"/>
      <c r="I110" s="542"/>
      <c r="J110" s="22"/>
      <c r="K110" s="542"/>
      <c r="M110" s="56" t="b">
        <v>0</v>
      </c>
      <c r="N110" t="s">
        <v>331</v>
      </c>
      <c r="Q110" s="425" t="s">
        <v>140</v>
      </c>
      <c r="S110" s="754"/>
      <c r="T110" s="425" t="s">
        <v>140</v>
      </c>
      <c r="V110" s="754"/>
      <c r="W110" s="425" t="s">
        <v>140</v>
      </c>
      <c r="Y110" s="754"/>
      <c r="Z110" s="425" t="s">
        <v>140</v>
      </c>
      <c r="AB110" s="754"/>
      <c r="AC110" s="425" t="s">
        <v>140</v>
      </c>
      <c r="AD110" s="58"/>
    </row>
    <row r="111" spans="1:30" ht="15" customHeight="1">
      <c r="A111" s="560"/>
      <c r="B111" s="201">
        <f t="shared" si="8"/>
        <v>93</v>
      </c>
      <c r="C111" s="805"/>
      <c r="D111" s="22"/>
      <c r="E111" s="542"/>
      <c r="F111" s="22"/>
      <c r="G111" s="554"/>
      <c r="H111" s="22"/>
      <c r="I111" s="542"/>
      <c r="J111" s="22"/>
      <c r="K111" s="542"/>
      <c r="M111" s="56" t="b">
        <v>0</v>
      </c>
      <c r="N111" t="s">
        <v>332</v>
      </c>
      <c r="Q111" s="5"/>
      <c r="T111" s="9"/>
      <c r="W111" s="9"/>
      <c r="Z111" s="9"/>
      <c r="AC111" s="9"/>
      <c r="AD111" s="58"/>
    </row>
    <row r="112" spans="1:30" ht="3.95" customHeight="1">
      <c r="A112" s="560"/>
      <c r="B112" s="201">
        <f t="shared" si="8"/>
        <v>94</v>
      </c>
      <c r="C112" s="805"/>
      <c r="D112" s="22"/>
      <c r="E112" s="542"/>
      <c r="F112" s="22"/>
      <c r="G112" s="554"/>
      <c r="H112" s="22"/>
      <c r="I112" s="542"/>
      <c r="J112" s="22"/>
      <c r="K112" s="542"/>
      <c r="Q112" s="3"/>
      <c r="AD112" s="58"/>
    </row>
    <row r="113" spans="1:30" ht="15" customHeight="1">
      <c r="A113" s="560"/>
      <c r="B113" s="201">
        <f t="shared" si="8"/>
        <v>95</v>
      </c>
      <c r="C113" s="805"/>
      <c r="D113" s="22"/>
      <c r="E113" s="542"/>
      <c r="F113" s="22"/>
      <c r="G113" s="554"/>
      <c r="H113" s="22"/>
      <c r="I113" s="542"/>
      <c r="J113" s="22"/>
      <c r="K113" s="542"/>
      <c r="M113" s="56" t="b">
        <v>0</v>
      </c>
      <c r="N113" t="s">
        <v>333</v>
      </c>
      <c r="Q113" s="8"/>
      <c r="S113" s="40" t="b">
        <v>0</v>
      </c>
      <c r="T113" s="39" t="s">
        <v>334</v>
      </c>
      <c r="V113" s="106" t="b">
        <v>0</v>
      </c>
      <c r="W113" t="s">
        <v>335</v>
      </c>
      <c r="Y113" s="802" t="b">
        <v>0</v>
      </c>
      <c r="Z113" t="s">
        <v>336</v>
      </c>
      <c r="AD113" s="58"/>
    </row>
    <row r="114" spans="1:30" ht="3.95" customHeight="1">
      <c r="A114" s="560"/>
      <c r="B114" s="201">
        <f t="shared" si="8"/>
        <v>96</v>
      </c>
      <c r="C114" s="805"/>
      <c r="D114" s="22"/>
      <c r="E114" s="542"/>
      <c r="F114" s="22"/>
      <c r="G114" s="554"/>
      <c r="H114" s="22"/>
      <c r="I114" s="542"/>
      <c r="J114" s="22"/>
      <c r="K114" s="542"/>
      <c r="Q114" s="8"/>
      <c r="S114" s="39"/>
      <c r="T114" s="39"/>
      <c r="Y114" s="802"/>
      <c r="AD114" s="58"/>
    </row>
    <row r="115" spans="1:30" ht="15" customHeight="1">
      <c r="A115" s="560"/>
      <c r="B115" s="201">
        <f t="shared" si="8"/>
        <v>97</v>
      </c>
      <c r="C115" s="805"/>
      <c r="D115" s="22"/>
      <c r="E115" s="542"/>
      <c r="F115" s="22"/>
      <c r="G115" s="554"/>
      <c r="H115" s="22"/>
      <c r="I115" s="542"/>
      <c r="J115" s="22"/>
      <c r="K115" s="542"/>
      <c r="N115" s="65" t="s">
        <v>140</v>
      </c>
      <c r="S115" s="803" t="s">
        <v>337</v>
      </c>
      <c r="T115" s="803"/>
      <c r="V115" s="803" t="s">
        <v>338</v>
      </c>
      <c r="W115" s="803"/>
      <c r="Y115" s="802"/>
      <c r="AD115" s="58"/>
    </row>
    <row r="116" spans="1:30" ht="15" customHeight="1">
      <c r="A116" s="560"/>
      <c r="B116" s="201">
        <f t="shared" si="8"/>
        <v>98</v>
      </c>
      <c r="C116" s="805"/>
      <c r="D116" s="22"/>
      <c r="E116" s="542"/>
      <c r="F116" s="22"/>
      <c r="G116" s="554"/>
      <c r="H116" s="22"/>
      <c r="I116" s="542"/>
      <c r="J116" s="22"/>
      <c r="K116" s="542"/>
      <c r="N116" s="672"/>
      <c r="S116" s="56" t="b">
        <v>0</v>
      </c>
      <c r="T116" t="s">
        <v>340</v>
      </c>
      <c r="W116" t="s">
        <v>341</v>
      </c>
      <c r="AD116" s="58"/>
    </row>
    <row r="117" spans="1:30" ht="15" customHeight="1">
      <c r="A117" s="560"/>
      <c r="B117" s="201">
        <f t="shared" si="8"/>
        <v>99</v>
      </c>
      <c r="C117" s="805"/>
      <c r="D117" s="22"/>
      <c r="E117" s="542"/>
      <c r="F117" s="22"/>
      <c r="G117" s="554"/>
      <c r="H117" s="22"/>
      <c r="I117" s="542"/>
      <c r="J117" s="22"/>
      <c r="K117" s="542"/>
      <c r="N117" s="672"/>
      <c r="T117" s="65" t="s">
        <v>142</v>
      </c>
      <c r="W117" s="428" t="s">
        <v>142</v>
      </c>
      <c r="X117" s="65"/>
      <c r="Y117" s="65"/>
      <c r="Z117" s="65"/>
      <c r="AD117" s="58"/>
    </row>
    <row r="118" spans="1:30" ht="15" customHeight="1">
      <c r="A118" s="560"/>
      <c r="B118" s="201">
        <f t="shared" si="8"/>
        <v>100</v>
      </c>
      <c r="C118" s="806"/>
      <c r="D118" s="22"/>
      <c r="E118" s="809"/>
      <c r="F118" s="22"/>
      <c r="G118" s="554"/>
      <c r="H118" s="22"/>
      <c r="I118" s="809"/>
      <c r="J118" s="22"/>
      <c r="K118" s="809"/>
      <c r="N118" s="505"/>
      <c r="T118" s="39"/>
      <c r="W118" s="9"/>
      <c r="X118" s="65"/>
      <c r="Y118" s="65"/>
      <c r="Z118" s="65"/>
      <c r="AD118" s="58"/>
    </row>
    <row r="119" spans="1:30" ht="8.1" customHeight="1" thickBot="1">
      <c r="A119" s="561"/>
      <c r="B119" s="201"/>
      <c r="C119" s="807"/>
      <c r="D119" s="111"/>
      <c r="E119" s="810"/>
      <c r="F119" s="111"/>
      <c r="G119" s="555"/>
      <c r="H119" s="111"/>
      <c r="I119" s="810"/>
      <c r="J119" s="111"/>
      <c r="K119" s="810"/>
      <c r="L119" s="59"/>
      <c r="M119" s="59"/>
      <c r="N119" s="59"/>
      <c r="O119" s="59"/>
      <c r="P119" s="59"/>
      <c r="Q119" s="59"/>
      <c r="R119" s="59"/>
      <c r="S119" s="59"/>
      <c r="T119" s="59"/>
      <c r="U119" s="59"/>
      <c r="V119" s="91"/>
      <c r="W119" s="59"/>
      <c r="X119" s="66"/>
      <c r="Y119" s="66"/>
      <c r="Z119" s="66"/>
      <c r="AA119" s="59"/>
      <c r="AB119" s="59"/>
      <c r="AC119" s="59"/>
      <c r="AD119" s="62"/>
    </row>
    <row r="120" spans="1:30" ht="15" customHeight="1" thickBot="1">
      <c r="C120" s="28"/>
      <c r="D120" s="28"/>
      <c r="E120" s="28"/>
      <c r="F120" s="28"/>
      <c r="G120" s="28"/>
      <c r="H120" s="28"/>
      <c r="I120" s="28"/>
      <c r="J120" s="28"/>
      <c r="K120" s="28"/>
      <c r="L120" s="27"/>
      <c r="M120" s="27"/>
      <c r="N120" s="27"/>
      <c r="O120" s="27"/>
      <c r="P120" s="27"/>
      <c r="Q120" s="27"/>
      <c r="R120" s="27"/>
      <c r="S120" s="27"/>
      <c r="T120" s="27"/>
      <c r="U120" s="27"/>
      <c r="V120" s="94"/>
      <c r="W120" s="27"/>
      <c r="X120" s="27"/>
      <c r="Y120" s="27"/>
      <c r="Z120" s="27"/>
      <c r="AA120" s="27"/>
      <c r="AB120" s="27"/>
      <c r="AC120" s="27"/>
      <c r="AD120" s="27"/>
    </row>
    <row r="121" spans="1:30" ht="15" customHeight="1">
      <c r="A121" s="559">
        <f>A109+1</f>
        <v>10</v>
      </c>
      <c r="B121" s="474">
        <f>(A121*10)+1</f>
        <v>101</v>
      </c>
      <c r="C121" s="804"/>
      <c r="D121" s="70"/>
      <c r="E121" s="808"/>
      <c r="F121" s="70"/>
      <c r="G121" s="553"/>
      <c r="H121" s="70"/>
      <c r="I121" s="808"/>
      <c r="J121" s="70"/>
      <c r="K121" s="808"/>
      <c r="L121" s="54"/>
      <c r="M121" s="52" t="b">
        <v>0</v>
      </c>
      <c r="N121" s="54" t="s">
        <v>325</v>
      </c>
      <c r="O121" s="54"/>
      <c r="P121" s="54"/>
      <c r="Q121" s="54" t="s">
        <v>326</v>
      </c>
      <c r="R121" s="54"/>
      <c r="S121" s="753"/>
      <c r="T121" s="54" t="s">
        <v>327</v>
      </c>
      <c r="U121" s="54"/>
      <c r="V121" s="753"/>
      <c r="W121" s="54" t="s">
        <v>328</v>
      </c>
      <c r="X121" s="54"/>
      <c r="Y121" s="753"/>
      <c r="Z121" s="54" t="s">
        <v>329</v>
      </c>
      <c r="AA121" s="54"/>
      <c r="AB121" s="753"/>
      <c r="AC121" s="54" t="s">
        <v>330</v>
      </c>
      <c r="AD121" s="63"/>
    </row>
    <row r="122" spans="1:30" ht="15" customHeight="1">
      <c r="A122" s="560"/>
      <c r="B122" s="201">
        <f t="shared" ref="B122:B130" si="9">B121+1</f>
        <v>102</v>
      </c>
      <c r="C122" s="805"/>
      <c r="D122" s="22"/>
      <c r="E122" s="542"/>
      <c r="F122" s="22"/>
      <c r="G122" s="554"/>
      <c r="H122" s="22"/>
      <c r="I122" s="542"/>
      <c r="J122" s="22"/>
      <c r="K122" s="542"/>
      <c r="M122" s="56" t="b">
        <v>0</v>
      </c>
      <c r="N122" t="s">
        <v>331</v>
      </c>
      <c r="Q122" s="425" t="s">
        <v>140</v>
      </c>
      <c r="S122" s="754"/>
      <c r="T122" s="425" t="s">
        <v>140</v>
      </c>
      <c r="V122" s="754"/>
      <c r="W122" s="425" t="s">
        <v>140</v>
      </c>
      <c r="Y122" s="754"/>
      <c r="Z122" s="425" t="s">
        <v>140</v>
      </c>
      <c r="AB122" s="754"/>
      <c r="AC122" s="425" t="s">
        <v>140</v>
      </c>
      <c r="AD122" s="58"/>
    </row>
    <row r="123" spans="1:30" ht="15" customHeight="1">
      <c r="A123" s="560"/>
      <c r="B123" s="201">
        <f t="shared" si="9"/>
        <v>103</v>
      </c>
      <c r="C123" s="805"/>
      <c r="D123" s="22"/>
      <c r="E123" s="542"/>
      <c r="F123" s="22"/>
      <c r="G123" s="554"/>
      <c r="H123" s="22"/>
      <c r="I123" s="542"/>
      <c r="J123" s="22"/>
      <c r="K123" s="542"/>
      <c r="M123" s="56" t="b">
        <v>0</v>
      </c>
      <c r="N123" t="s">
        <v>332</v>
      </c>
      <c r="Q123" s="5"/>
      <c r="T123" s="9"/>
      <c r="W123" s="9"/>
      <c r="Z123" s="9"/>
      <c r="AC123" s="9"/>
      <c r="AD123" s="58"/>
    </row>
    <row r="124" spans="1:30" ht="3.95" customHeight="1">
      <c r="A124" s="560"/>
      <c r="B124" s="201">
        <f t="shared" si="9"/>
        <v>104</v>
      </c>
      <c r="C124" s="805"/>
      <c r="D124" s="22"/>
      <c r="E124" s="542"/>
      <c r="F124" s="22"/>
      <c r="G124" s="554"/>
      <c r="H124" s="22"/>
      <c r="I124" s="542"/>
      <c r="J124" s="22"/>
      <c r="K124" s="542"/>
      <c r="Q124" s="3"/>
      <c r="AD124" s="58"/>
    </row>
    <row r="125" spans="1:30" ht="15" customHeight="1">
      <c r="A125" s="560"/>
      <c r="B125" s="201">
        <f t="shared" si="9"/>
        <v>105</v>
      </c>
      <c r="C125" s="805"/>
      <c r="D125" s="22"/>
      <c r="E125" s="542"/>
      <c r="F125" s="22"/>
      <c r="G125" s="554"/>
      <c r="H125" s="22"/>
      <c r="I125" s="542"/>
      <c r="J125" s="22"/>
      <c r="K125" s="542"/>
      <c r="M125" s="56" t="b">
        <v>0</v>
      </c>
      <c r="N125" t="s">
        <v>333</v>
      </c>
      <c r="Q125" s="8"/>
      <c r="S125" s="40" t="b">
        <v>0</v>
      </c>
      <c r="T125" s="39" t="s">
        <v>334</v>
      </c>
      <c r="V125" s="106" t="b">
        <v>0</v>
      </c>
      <c r="W125" t="s">
        <v>335</v>
      </c>
      <c r="Y125" s="802" t="b">
        <v>0</v>
      </c>
      <c r="Z125" t="s">
        <v>336</v>
      </c>
      <c r="AD125" s="58"/>
    </row>
    <row r="126" spans="1:30" ht="3.95" customHeight="1">
      <c r="A126" s="560"/>
      <c r="B126" s="201">
        <f t="shared" si="9"/>
        <v>106</v>
      </c>
      <c r="C126" s="805"/>
      <c r="D126" s="22"/>
      <c r="E126" s="542"/>
      <c r="F126" s="22"/>
      <c r="G126" s="554"/>
      <c r="H126" s="22"/>
      <c r="I126" s="542"/>
      <c r="J126" s="22"/>
      <c r="K126" s="542"/>
      <c r="Q126" s="8"/>
      <c r="S126" s="39"/>
      <c r="T126" s="39"/>
      <c r="Y126" s="802"/>
      <c r="AD126" s="58"/>
    </row>
    <row r="127" spans="1:30" ht="15" customHeight="1">
      <c r="A127" s="560"/>
      <c r="B127" s="201">
        <f t="shared" si="9"/>
        <v>107</v>
      </c>
      <c r="C127" s="805"/>
      <c r="D127" s="22"/>
      <c r="E127" s="542"/>
      <c r="F127" s="22"/>
      <c r="G127" s="554"/>
      <c r="H127" s="22"/>
      <c r="I127" s="542"/>
      <c r="J127" s="22"/>
      <c r="K127" s="542"/>
      <c r="N127" s="65" t="s">
        <v>140</v>
      </c>
      <c r="S127" s="803" t="s">
        <v>337</v>
      </c>
      <c r="T127" s="803"/>
      <c r="V127" s="803" t="s">
        <v>338</v>
      </c>
      <c r="W127" s="803"/>
      <c r="Y127" s="802"/>
      <c r="AD127" s="58"/>
    </row>
    <row r="128" spans="1:30" ht="15" customHeight="1">
      <c r="A128" s="560"/>
      <c r="B128" s="201">
        <f t="shared" si="9"/>
        <v>108</v>
      </c>
      <c r="C128" s="805"/>
      <c r="D128" s="22"/>
      <c r="E128" s="542"/>
      <c r="F128" s="22"/>
      <c r="G128" s="554"/>
      <c r="H128" s="22"/>
      <c r="I128" s="542"/>
      <c r="J128" s="22"/>
      <c r="K128" s="542"/>
      <c r="N128" s="672"/>
      <c r="S128" s="56" t="b">
        <v>0</v>
      </c>
      <c r="T128" t="s">
        <v>340</v>
      </c>
      <c r="W128" t="s">
        <v>341</v>
      </c>
      <c r="AD128" s="58"/>
    </row>
    <row r="129" spans="1:30" ht="15" customHeight="1">
      <c r="A129" s="560"/>
      <c r="B129" s="201">
        <f t="shared" si="9"/>
        <v>109</v>
      </c>
      <c r="C129" s="805"/>
      <c r="D129" s="22"/>
      <c r="E129" s="542"/>
      <c r="F129" s="22"/>
      <c r="G129" s="554"/>
      <c r="H129" s="22"/>
      <c r="I129" s="542"/>
      <c r="J129" s="22"/>
      <c r="K129" s="542"/>
      <c r="N129" s="672"/>
      <c r="T129" s="65" t="s">
        <v>142</v>
      </c>
      <c r="W129" s="428" t="s">
        <v>142</v>
      </c>
      <c r="X129" s="65"/>
      <c r="Y129" s="65"/>
      <c r="Z129" s="65"/>
      <c r="AD129" s="58"/>
    </row>
    <row r="130" spans="1:30" ht="15" customHeight="1">
      <c r="A130" s="560"/>
      <c r="B130" s="201">
        <f t="shared" si="9"/>
        <v>110</v>
      </c>
      <c r="C130" s="806"/>
      <c r="D130" s="22"/>
      <c r="E130" s="809"/>
      <c r="F130" s="22"/>
      <c r="G130" s="554"/>
      <c r="H130" s="22"/>
      <c r="I130" s="809"/>
      <c r="J130" s="22"/>
      <c r="K130" s="809"/>
      <c r="N130" s="505"/>
      <c r="T130" s="39"/>
      <c r="W130" s="9"/>
      <c r="X130" s="65"/>
      <c r="Y130" s="65"/>
      <c r="Z130" s="65"/>
      <c r="AD130" s="58"/>
    </row>
    <row r="131" spans="1:30" ht="8.1" customHeight="1" thickBot="1">
      <c r="A131" s="561"/>
      <c r="B131" s="201"/>
      <c r="C131" s="807"/>
      <c r="D131" s="111"/>
      <c r="E131" s="810"/>
      <c r="F131" s="111"/>
      <c r="G131" s="555"/>
      <c r="H131" s="111"/>
      <c r="I131" s="810"/>
      <c r="J131" s="111"/>
      <c r="K131" s="810"/>
      <c r="L131" s="59"/>
      <c r="M131" s="59"/>
      <c r="N131" s="59"/>
      <c r="O131" s="59"/>
      <c r="P131" s="59"/>
      <c r="Q131" s="59"/>
      <c r="R131" s="59"/>
      <c r="S131" s="59"/>
      <c r="T131" s="59"/>
      <c r="U131" s="59"/>
      <c r="V131" s="91"/>
      <c r="W131" s="59"/>
      <c r="X131" s="66"/>
      <c r="Y131" s="66"/>
      <c r="Z131" s="66"/>
      <c r="AA131" s="59"/>
      <c r="AB131" s="59"/>
      <c r="AC131" s="59"/>
      <c r="AD131" s="62"/>
    </row>
    <row r="132" spans="1:30" ht="15" customHeight="1" thickBot="1">
      <c r="C132" s="28"/>
      <c r="D132" s="28"/>
      <c r="E132" s="28"/>
      <c r="F132" s="28"/>
      <c r="G132" s="28"/>
      <c r="H132" s="28"/>
      <c r="I132" s="28"/>
      <c r="J132" s="28"/>
      <c r="K132" s="28"/>
      <c r="L132" s="27"/>
      <c r="M132" s="27"/>
      <c r="N132" s="27"/>
      <c r="O132" s="27"/>
      <c r="P132" s="27"/>
      <c r="Q132" s="27"/>
      <c r="R132" s="27"/>
      <c r="S132" s="27"/>
      <c r="T132" s="27"/>
      <c r="U132" s="27"/>
      <c r="V132" s="94"/>
      <c r="W132" s="27"/>
      <c r="X132" s="27"/>
      <c r="Y132" s="27"/>
      <c r="Z132" s="27"/>
      <c r="AA132" s="27"/>
      <c r="AB132" s="27"/>
      <c r="AC132" s="27"/>
      <c r="AD132" s="27"/>
    </row>
    <row r="133" spans="1:30" ht="15" customHeight="1">
      <c r="A133" s="559">
        <f>A121+1</f>
        <v>11</v>
      </c>
      <c r="B133" s="474">
        <f>(A133*10)+1</f>
        <v>111</v>
      </c>
      <c r="C133" s="804"/>
      <c r="D133" s="70"/>
      <c r="E133" s="808"/>
      <c r="F133" s="70"/>
      <c r="G133" s="553"/>
      <c r="H133" s="70"/>
      <c r="I133" s="808"/>
      <c r="J133" s="70"/>
      <c r="K133" s="808"/>
      <c r="L133" s="54"/>
      <c r="M133" s="52" t="b">
        <v>0</v>
      </c>
      <c r="N133" s="54" t="s">
        <v>325</v>
      </c>
      <c r="O133" s="54"/>
      <c r="P133" s="54"/>
      <c r="Q133" s="54" t="s">
        <v>326</v>
      </c>
      <c r="R133" s="54"/>
      <c r="S133" s="753"/>
      <c r="T133" s="54" t="s">
        <v>327</v>
      </c>
      <c r="U133" s="54"/>
      <c r="V133" s="753"/>
      <c r="W133" s="54" t="s">
        <v>328</v>
      </c>
      <c r="X133" s="54"/>
      <c r="Y133" s="753"/>
      <c r="Z133" s="54" t="s">
        <v>329</v>
      </c>
      <c r="AA133" s="54"/>
      <c r="AB133" s="753"/>
      <c r="AC133" s="54" t="s">
        <v>330</v>
      </c>
      <c r="AD133" s="63"/>
    </row>
    <row r="134" spans="1:30" ht="15" customHeight="1">
      <c r="A134" s="560"/>
      <c r="B134" s="201">
        <f t="shared" ref="B134:B142" si="10">B133+1</f>
        <v>112</v>
      </c>
      <c r="C134" s="805"/>
      <c r="D134" s="22"/>
      <c r="E134" s="542"/>
      <c r="F134" s="22"/>
      <c r="G134" s="554"/>
      <c r="H134" s="22"/>
      <c r="I134" s="542"/>
      <c r="J134" s="22"/>
      <c r="K134" s="542"/>
      <c r="M134" s="56" t="b">
        <v>0</v>
      </c>
      <c r="N134" t="s">
        <v>331</v>
      </c>
      <c r="Q134" s="425" t="s">
        <v>140</v>
      </c>
      <c r="S134" s="754"/>
      <c r="T134" s="425" t="s">
        <v>140</v>
      </c>
      <c r="V134" s="754"/>
      <c r="W134" s="425" t="s">
        <v>140</v>
      </c>
      <c r="Y134" s="754"/>
      <c r="Z134" s="425" t="s">
        <v>140</v>
      </c>
      <c r="AB134" s="754"/>
      <c r="AC134" s="425" t="s">
        <v>140</v>
      </c>
      <c r="AD134" s="58"/>
    </row>
    <row r="135" spans="1:30" ht="15" customHeight="1">
      <c r="A135" s="560"/>
      <c r="B135" s="201">
        <f t="shared" si="10"/>
        <v>113</v>
      </c>
      <c r="C135" s="805"/>
      <c r="D135" s="22"/>
      <c r="E135" s="542"/>
      <c r="F135" s="22"/>
      <c r="G135" s="554"/>
      <c r="H135" s="22"/>
      <c r="I135" s="542"/>
      <c r="J135" s="22"/>
      <c r="K135" s="542"/>
      <c r="M135" s="56" t="b">
        <v>0</v>
      </c>
      <c r="N135" t="s">
        <v>332</v>
      </c>
      <c r="Q135" s="5"/>
      <c r="T135" s="9"/>
      <c r="W135" s="9"/>
      <c r="Z135" s="9"/>
      <c r="AC135" s="9"/>
      <c r="AD135" s="58"/>
    </row>
    <row r="136" spans="1:30" ht="3.95" customHeight="1">
      <c r="A136" s="560"/>
      <c r="B136" s="201">
        <f t="shared" si="10"/>
        <v>114</v>
      </c>
      <c r="C136" s="805"/>
      <c r="D136" s="22"/>
      <c r="E136" s="542"/>
      <c r="F136" s="22"/>
      <c r="G136" s="554"/>
      <c r="H136" s="22"/>
      <c r="I136" s="542"/>
      <c r="J136" s="22"/>
      <c r="K136" s="542"/>
      <c r="Q136" s="3"/>
      <c r="AD136" s="58"/>
    </row>
    <row r="137" spans="1:30" ht="15" customHeight="1">
      <c r="A137" s="560"/>
      <c r="B137" s="201">
        <f t="shared" si="10"/>
        <v>115</v>
      </c>
      <c r="C137" s="805"/>
      <c r="D137" s="22"/>
      <c r="E137" s="542"/>
      <c r="F137" s="22"/>
      <c r="G137" s="554"/>
      <c r="H137" s="22"/>
      <c r="I137" s="542"/>
      <c r="J137" s="22"/>
      <c r="K137" s="542"/>
      <c r="M137" s="56" t="b">
        <v>0</v>
      </c>
      <c r="N137" t="s">
        <v>333</v>
      </c>
      <c r="Q137" s="8"/>
      <c r="S137" s="40" t="b">
        <v>0</v>
      </c>
      <c r="T137" s="39" t="s">
        <v>334</v>
      </c>
      <c r="V137" s="106" t="b">
        <v>0</v>
      </c>
      <c r="W137" t="s">
        <v>335</v>
      </c>
      <c r="Y137" s="802" t="b">
        <v>0</v>
      </c>
      <c r="Z137" t="s">
        <v>336</v>
      </c>
      <c r="AD137" s="58"/>
    </row>
    <row r="138" spans="1:30" ht="3.95" customHeight="1">
      <c r="A138" s="560"/>
      <c r="B138" s="201">
        <f t="shared" si="10"/>
        <v>116</v>
      </c>
      <c r="C138" s="805"/>
      <c r="D138" s="22"/>
      <c r="E138" s="542"/>
      <c r="F138" s="22"/>
      <c r="G138" s="554"/>
      <c r="H138" s="22"/>
      <c r="I138" s="542"/>
      <c r="J138" s="22"/>
      <c r="K138" s="542"/>
      <c r="Q138" s="8"/>
      <c r="S138" s="39"/>
      <c r="T138" s="39"/>
      <c r="Y138" s="802"/>
      <c r="AD138" s="58"/>
    </row>
    <row r="139" spans="1:30" ht="15" customHeight="1">
      <c r="A139" s="560"/>
      <c r="B139" s="201">
        <f t="shared" si="10"/>
        <v>117</v>
      </c>
      <c r="C139" s="805"/>
      <c r="D139" s="22"/>
      <c r="E139" s="542"/>
      <c r="F139" s="22"/>
      <c r="G139" s="554"/>
      <c r="H139" s="22"/>
      <c r="I139" s="542"/>
      <c r="J139" s="22"/>
      <c r="K139" s="542"/>
      <c r="N139" s="65" t="s">
        <v>140</v>
      </c>
      <c r="S139" s="803" t="s">
        <v>337</v>
      </c>
      <c r="T139" s="803"/>
      <c r="V139" s="803" t="s">
        <v>338</v>
      </c>
      <c r="W139" s="803"/>
      <c r="Y139" s="802"/>
      <c r="AD139" s="58"/>
    </row>
    <row r="140" spans="1:30" ht="15" customHeight="1">
      <c r="A140" s="560"/>
      <c r="B140" s="201">
        <f t="shared" si="10"/>
        <v>118</v>
      </c>
      <c r="C140" s="805"/>
      <c r="D140" s="22"/>
      <c r="E140" s="542"/>
      <c r="F140" s="22"/>
      <c r="G140" s="554"/>
      <c r="H140" s="22"/>
      <c r="I140" s="542"/>
      <c r="J140" s="22"/>
      <c r="K140" s="542"/>
      <c r="N140" s="672"/>
      <c r="S140" s="56" t="b">
        <v>0</v>
      </c>
      <c r="T140" t="s">
        <v>340</v>
      </c>
      <c r="W140" t="s">
        <v>341</v>
      </c>
      <c r="AD140" s="58"/>
    </row>
    <row r="141" spans="1:30" ht="15" customHeight="1">
      <c r="A141" s="560"/>
      <c r="B141" s="201">
        <f t="shared" si="10"/>
        <v>119</v>
      </c>
      <c r="C141" s="805"/>
      <c r="D141" s="22"/>
      <c r="E141" s="542"/>
      <c r="F141" s="22"/>
      <c r="G141" s="554"/>
      <c r="H141" s="22"/>
      <c r="I141" s="542"/>
      <c r="J141" s="22"/>
      <c r="K141" s="542"/>
      <c r="N141" s="672"/>
      <c r="T141" s="65" t="s">
        <v>142</v>
      </c>
      <c r="W141" s="428" t="s">
        <v>142</v>
      </c>
      <c r="X141" s="65"/>
      <c r="Y141" s="65"/>
      <c r="Z141" s="65"/>
      <c r="AD141" s="58"/>
    </row>
    <row r="142" spans="1:30" ht="15" customHeight="1">
      <c r="A142" s="560"/>
      <c r="B142" s="201">
        <f t="shared" si="10"/>
        <v>120</v>
      </c>
      <c r="C142" s="806"/>
      <c r="D142" s="22"/>
      <c r="E142" s="809"/>
      <c r="F142" s="22"/>
      <c r="G142" s="554"/>
      <c r="H142" s="22"/>
      <c r="I142" s="809"/>
      <c r="J142" s="22"/>
      <c r="K142" s="809"/>
      <c r="N142" s="505"/>
      <c r="T142" s="39"/>
      <c r="W142" s="9"/>
      <c r="X142" s="65"/>
      <c r="Y142" s="65"/>
      <c r="Z142" s="65"/>
      <c r="AD142" s="58"/>
    </row>
    <row r="143" spans="1:30" ht="8.1" customHeight="1" thickBot="1">
      <c r="A143" s="561"/>
      <c r="B143" s="201"/>
      <c r="C143" s="807"/>
      <c r="D143" s="111"/>
      <c r="E143" s="810"/>
      <c r="F143" s="111"/>
      <c r="G143" s="555"/>
      <c r="H143" s="111"/>
      <c r="I143" s="810"/>
      <c r="J143" s="111"/>
      <c r="K143" s="810"/>
      <c r="L143" s="59"/>
      <c r="M143" s="59"/>
      <c r="N143" s="59"/>
      <c r="O143" s="59"/>
      <c r="P143" s="59"/>
      <c r="Q143" s="59"/>
      <c r="R143" s="59"/>
      <c r="S143" s="59"/>
      <c r="T143" s="59"/>
      <c r="U143" s="59"/>
      <c r="V143" s="91"/>
      <c r="W143" s="59"/>
      <c r="X143" s="66"/>
      <c r="Y143" s="66"/>
      <c r="Z143" s="66"/>
      <c r="AA143" s="59"/>
      <c r="AB143" s="59"/>
      <c r="AC143" s="59"/>
      <c r="AD143" s="62"/>
    </row>
    <row r="144" spans="1:30" ht="15" customHeight="1" thickBot="1">
      <c r="C144" s="28"/>
      <c r="D144" s="28"/>
      <c r="E144" s="28"/>
      <c r="F144" s="28"/>
      <c r="G144" s="28"/>
      <c r="H144" s="28"/>
      <c r="I144" s="28"/>
      <c r="J144" s="28"/>
      <c r="K144" s="28"/>
      <c r="L144" s="27"/>
      <c r="M144" s="27"/>
      <c r="N144" s="27"/>
      <c r="O144" s="27"/>
      <c r="P144" s="27"/>
      <c r="Q144" s="27"/>
      <c r="R144" s="27"/>
      <c r="S144" s="27"/>
      <c r="T144" s="27"/>
      <c r="U144" s="27"/>
      <c r="V144" s="94"/>
      <c r="W144" s="27"/>
      <c r="X144" s="27"/>
      <c r="Y144" s="27"/>
      <c r="Z144" s="27"/>
      <c r="AA144" s="27"/>
      <c r="AB144" s="27"/>
      <c r="AC144" s="27"/>
      <c r="AD144" s="27"/>
    </row>
    <row r="145" spans="1:30" ht="15" customHeight="1">
      <c r="A145" s="559">
        <f>A133+1</f>
        <v>12</v>
      </c>
      <c r="B145" s="474">
        <f>(A145*10)+1</f>
        <v>121</v>
      </c>
      <c r="C145" s="804"/>
      <c r="D145" s="70"/>
      <c r="E145" s="808"/>
      <c r="F145" s="70"/>
      <c r="G145" s="553"/>
      <c r="H145" s="70"/>
      <c r="I145" s="808"/>
      <c r="J145" s="70"/>
      <c r="K145" s="808"/>
      <c r="L145" s="54"/>
      <c r="M145" s="52" t="b">
        <v>0</v>
      </c>
      <c r="N145" s="54" t="s">
        <v>325</v>
      </c>
      <c r="O145" s="54"/>
      <c r="P145" s="54"/>
      <c r="Q145" s="54" t="s">
        <v>326</v>
      </c>
      <c r="R145" s="54"/>
      <c r="S145" s="753"/>
      <c r="T145" s="54" t="s">
        <v>327</v>
      </c>
      <c r="U145" s="54"/>
      <c r="V145" s="753"/>
      <c r="W145" s="54" t="s">
        <v>328</v>
      </c>
      <c r="X145" s="54"/>
      <c r="Y145" s="753"/>
      <c r="Z145" s="54" t="s">
        <v>329</v>
      </c>
      <c r="AA145" s="54"/>
      <c r="AB145" s="753"/>
      <c r="AC145" s="54" t="s">
        <v>330</v>
      </c>
      <c r="AD145" s="63"/>
    </row>
    <row r="146" spans="1:30" ht="15" customHeight="1">
      <c r="A146" s="560"/>
      <c r="B146" s="201">
        <f t="shared" ref="B146:B154" si="11">B145+1</f>
        <v>122</v>
      </c>
      <c r="C146" s="805"/>
      <c r="D146" s="22"/>
      <c r="E146" s="542"/>
      <c r="F146" s="22"/>
      <c r="G146" s="554"/>
      <c r="H146" s="22"/>
      <c r="I146" s="542"/>
      <c r="J146" s="22"/>
      <c r="K146" s="542"/>
      <c r="M146" s="56" t="b">
        <v>0</v>
      </c>
      <c r="N146" t="s">
        <v>331</v>
      </c>
      <c r="Q146" s="425" t="s">
        <v>140</v>
      </c>
      <c r="S146" s="754"/>
      <c r="T146" s="425" t="s">
        <v>140</v>
      </c>
      <c r="V146" s="754"/>
      <c r="W146" s="425" t="s">
        <v>140</v>
      </c>
      <c r="Y146" s="754"/>
      <c r="Z146" s="425" t="s">
        <v>140</v>
      </c>
      <c r="AB146" s="754"/>
      <c r="AC146" s="425" t="s">
        <v>140</v>
      </c>
      <c r="AD146" s="58"/>
    </row>
    <row r="147" spans="1:30" ht="15" customHeight="1">
      <c r="A147" s="560"/>
      <c r="B147" s="201">
        <f t="shared" si="11"/>
        <v>123</v>
      </c>
      <c r="C147" s="805"/>
      <c r="D147" s="22"/>
      <c r="E147" s="542"/>
      <c r="F147" s="22"/>
      <c r="G147" s="554"/>
      <c r="H147" s="22"/>
      <c r="I147" s="542"/>
      <c r="J147" s="22"/>
      <c r="K147" s="542"/>
      <c r="M147" s="56" t="b">
        <v>0</v>
      </c>
      <c r="N147" t="s">
        <v>332</v>
      </c>
      <c r="Q147" s="5"/>
      <c r="T147" s="9"/>
      <c r="W147" s="9"/>
      <c r="Z147" s="9"/>
      <c r="AC147" s="9"/>
      <c r="AD147" s="58"/>
    </row>
    <row r="148" spans="1:30" ht="3.95" customHeight="1">
      <c r="A148" s="560"/>
      <c r="B148" s="201">
        <f t="shared" si="11"/>
        <v>124</v>
      </c>
      <c r="C148" s="805"/>
      <c r="D148" s="22"/>
      <c r="E148" s="542"/>
      <c r="F148" s="22"/>
      <c r="G148" s="554"/>
      <c r="H148" s="22"/>
      <c r="I148" s="542"/>
      <c r="J148" s="22"/>
      <c r="K148" s="542"/>
      <c r="Q148" s="3"/>
      <c r="AD148" s="58"/>
    </row>
    <row r="149" spans="1:30" ht="15" customHeight="1">
      <c r="A149" s="560"/>
      <c r="B149" s="201">
        <f t="shared" si="11"/>
        <v>125</v>
      </c>
      <c r="C149" s="805"/>
      <c r="D149" s="22"/>
      <c r="E149" s="542"/>
      <c r="F149" s="22"/>
      <c r="G149" s="554"/>
      <c r="H149" s="22"/>
      <c r="I149" s="542"/>
      <c r="J149" s="22"/>
      <c r="K149" s="542"/>
      <c r="M149" s="56" t="b">
        <v>0</v>
      </c>
      <c r="N149" t="s">
        <v>333</v>
      </c>
      <c r="Q149" s="8"/>
      <c r="S149" s="40" t="b">
        <v>0</v>
      </c>
      <c r="T149" s="39" t="s">
        <v>334</v>
      </c>
      <c r="V149" s="106" t="b">
        <v>0</v>
      </c>
      <c r="W149" t="s">
        <v>335</v>
      </c>
      <c r="Y149" s="802" t="b">
        <v>0</v>
      </c>
      <c r="Z149" t="s">
        <v>336</v>
      </c>
      <c r="AD149" s="58"/>
    </row>
    <row r="150" spans="1:30" ht="3.95" customHeight="1">
      <c r="A150" s="560"/>
      <c r="B150" s="201">
        <f t="shared" si="11"/>
        <v>126</v>
      </c>
      <c r="C150" s="805"/>
      <c r="D150" s="22"/>
      <c r="E150" s="542"/>
      <c r="F150" s="22"/>
      <c r="G150" s="554"/>
      <c r="H150" s="22"/>
      <c r="I150" s="542"/>
      <c r="J150" s="22"/>
      <c r="K150" s="542"/>
      <c r="Q150" s="8"/>
      <c r="S150" s="39"/>
      <c r="T150" s="39"/>
      <c r="Y150" s="802"/>
      <c r="AD150" s="58"/>
    </row>
    <row r="151" spans="1:30" ht="15" customHeight="1">
      <c r="A151" s="560"/>
      <c r="B151" s="201">
        <f t="shared" si="11"/>
        <v>127</v>
      </c>
      <c r="C151" s="805"/>
      <c r="D151" s="22"/>
      <c r="E151" s="542"/>
      <c r="F151" s="22"/>
      <c r="G151" s="554"/>
      <c r="H151" s="22"/>
      <c r="I151" s="542"/>
      <c r="J151" s="22"/>
      <c r="K151" s="542"/>
      <c r="N151" s="65" t="s">
        <v>140</v>
      </c>
      <c r="S151" s="803" t="s">
        <v>337</v>
      </c>
      <c r="T151" s="803"/>
      <c r="V151" s="803" t="s">
        <v>338</v>
      </c>
      <c r="W151" s="803"/>
      <c r="Y151" s="802"/>
      <c r="AD151" s="58"/>
    </row>
    <row r="152" spans="1:30" ht="15" customHeight="1">
      <c r="A152" s="560"/>
      <c r="B152" s="201">
        <f t="shared" si="11"/>
        <v>128</v>
      </c>
      <c r="C152" s="805"/>
      <c r="D152" s="22"/>
      <c r="E152" s="542"/>
      <c r="F152" s="22"/>
      <c r="G152" s="554"/>
      <c r="H152" s="22"/>
      <c r="I152" s="542"/>
      <c r="J152" s="22"/>
      <c r="K152" s="542"/>
      <c r="N152" s="672"/>
      <c r="S152" s="56" t="b">
        <v>0</v>
      </c>
      <c r="T152" t="s">
        <v>340</v>
      </c>
      <c r="W152" t="s">
        <v>341</v>
      </c>
      <c r="AD152" s="58"/>
    </row>
    <row r="153" spans="1:30" ht="15" customHeight="1">
      <c r="A153" s="560"/>
      <c r="B153" s="201">
        <f t="shared" si="11"/>
        <v>129</v>
      </c>
      <c r="C153" s="805"/>
      <c r="D153" s="22"/>
      <c r="E153" s="542"/>
      <c r="F153" s="22"/>
      <c r="G153" s="554"/>
      <c r="H153" s="22"/>
      <c r="I153" s="542"/>
      <c r="J153" s="22"/>
      <c r="K153" s="542"/>
      <c r="N153" s="672"/>
      <c r="T153" s="65" t="s">
        <v>142</v>
      </c>
      <c r="W153" s="428" t="s">
        <v>142</v>
      </c>
      <c r="X153" s="65"/>
      <c r="Y153" s="65"/>
      <c r="Z153" s="65"/>
      <c r="AD153" s="58"/>
    </row>
    <row r="154" spans="1:30" ht="15" customHeight="1">
      <c r="A154" s="560"/>
      <c r="B154" s="201">
        <f t="shared" si="11"/>
        <v>130</v>
      </c>
      <c r="C154" s="806"/>
      <c r="D154" s="22"/>
      <c r="E154" s="809"/>
      <c r="F154" s="22"/>
      <c r="G154" s="554"/>
      <c r="H154" s="22"/>
      <c r="I154" s="809"/>
      <c r="J154" s="22"/>
      <c r="K154" s="809"/>
      <c r="N154" s="505"/>
      <c r="T154" s="39"/>
      <c r="W154" s="9"/>
      <c r="X154" s="65"/>
      <c r="Y154" s="65"/>
      <c r="Z154" s="65"/>
      <c r="AD154" s="58"/>
    </row>
    <row r="155" spans="1:30" ht="8.1" customHeight="1" thickBot="1">
      <c r="A155" s="561"/>
      <c r="B155" s="201"/>
      <c r="C155" s="807"/>
      <c r="D155" s="111"/>
      <c r="E155" s="810"/>
      <c r="F155" s="111"/>
      <c r="G155" s="555"/>
      <c r="H155" s="111"/>
      <c r="I155" s="810"/>
      <c r="J155" s="111"/>
      <c r="K155" s="810"/>
      <c r="L155" s="59"/>
      <c r="M155" s="59"/>
      <c r="N155" s="59"/>
      <c r="O155" s="59"/>
      <c r="P155" s="59"/>
      <c r="Q155" s="59"/>
      <c r="R155" s="59"/>
      <c r="S155" s="59"/>
      <c r="T155" s="59"/>
      <c r="U155" s="59"/>
      <c r="V155" s="91"/>
      <c r="W155" s="59"/>
      <c r="X155" s="66"/>
      <c r="Y155" s="66"/>
      <c r="Z155" s="66"/>
      <c r="AA155" s="59"/>
      <c r="AB155" s="59"/>
      <c r="AC155" s="59"/>
      <c r="AD155" s="62"/>
    </row>
    <row r="156" spans="1:30" ht="15" customHeight="1" thickBot="1">
      <c r="C156" s="28"/>
      <c r="D156" s="28"/>
      <c r="E156" s="28"/>
      <c r="F156" s="28"/>
      <c r="G156" s="28"/>
      <c r="H156" s="28"/>
      <c r="I156" s="28"/>
      <c r="J156" s="28"/>
      <c r="K156" s="28"/>
      <c r="L156" s="27"/>
      <c r="M156" s="27"/>
      <c r="N156" s="27"/>
      <c r="O156" s="27"/>
      <c r="P156" s="27"/>
      <c r="Q156" s="27"/>
      <c r="R156" s="27"/>
      <c r="S156" s="27"/>
      <c r="T156" s="27"/>
      <c r="U156" s="27"/>
      <c r="V156" s="94"/>
      <c r="W156" s="27"/>
      <c r="X156" s="27"/>
      <c r="Y156" s="27"/>
      <c r="Z156" s="27"/>
      <c r="AA156" s="27"/>
      <c r="AB156" s="27"/>
      <c r="AC156" s="27"/>
      <c r="AD156" s="27"/>
    </row>
    <row r="157" spans="1:30" ht="15" customHeight="1">
      <c r="A157" s="559">
        <f>A145+1</f>
        <v>13</v>
      </c>
      <c r="B157" s="474">
        <f>(A157*10)+1</f>
        <v>131</v>
      </c>
      <c r="C157" s="804"/>
      <c r="D157" s="70"/>
      <c r="E157" s="808"/>
      <c r="F157" s="70"/>
      <c r="G157" s="553"/>
      <c r="H157" s="70"/>
      <c r="I157" s="808"/>
      <c r="J157" s="70"/>
      <c r="K157" s="808"/>
      <c r="L157" s="54"/>
      <c r="M157" s="52" t="b">
        <v>0</v>
      </c>
      <c r="N157" s="54" t="s">
        <v>325</v>
      </c>
      <c r="O157" s="54"/>
      <c r="P157" s="54"/>
      <c r="Q157" s="54" t="s">
        <v>326</v>
      </c>
      <c r="R157" s="54"/>
      <c r="S157" s="753"/>
      <c r="T157" s="54" t="s">
        <v>327</v>
      </c>
      <c r="U157" s="54"/>
      <c r="V157" s="753"/>
      <c r="W157" s="54" t="s">
        <v>328</v>
      </c>
      <c r="X157" s="54"/>
      <c r="Y157" s="753"/>
      <c r="Z157" s="54" t="s">
        <v>329</v>
      </c>
      <c r="AA157" s="54"/>
      <c r="AB157" s="753"/>
      <c r="AC157" s="54" t="s">
        <v>330</v>
      </c>
      <c r="AD157" s="63"/>
    </row>
    <row r="158" spans="1:30" ht="15" customHeight="1">
      <c r="A158" s="560"/>
      <c r="B158" s="201">
        <f t="shared" ref="B158:B166" si="12">B157+1</f>
        <v>132</v>
      </c>
      <c r="C158" s="805"/>
      <c r="D158" s="22"/>
      <c r="E158" s="542"/>
      <c r="F158" s="22"/>
      <c r="G158" s="554"/>
      <c r="H158" s="22"/>
      <c r="I158" s="542"/>
      <c r="J158" s="22"/>
      <c r="K158" s="542"/>
      <c r="M158" s="56" t="b">
        <v>0</v>
      </c>
      <c r="N158" t="s">
        <v>331</v>
      </c>
      <c r="Q158" s="425" t="s">
        <v>140</v>
      </c>
      <c r="S158" s="754"/>
      <c r="T158" s="425" t="s">
        <v>140</v>
      </c>
      <c r="V158" s="754"/>
      <c r="W158" s="425" t="s">
        <v>140</v>
      </c>
      <c r="Y158" s="754"/>
      <c r="Z158" s="425" t="s">
        <v>140</v>
      </c>
      <c r="AB158" s="754"/>
      <c r="AC158" s="425" t="s">
        <v>140</v>
      </c>
      <c r="AD158" s="58"/>
    </row>
    <row r="159" spans="1:30" ht="15" customHeight="1">
      <c r="A159" s="560"/>
      <c r="B159" s="201">
        <f t="shared" si="12"/>
        <v>133</v>
      </c>
      <c r="C159" s="805"/>
      <c r="D159" s="22"/>
      <c r="E159" s="542"/>
      <c r="F159" s="22"/>
      <c r="G159" s="554"/>
      <c r="H159" s="22"/>
      <c r="I159" s="542"/>
      <c r="J159" s="22"/>
      <c r="K159" s="542"/>
      <c r="M159" s="56" t="b">
        <v>0</v>
      </c>
      <c r="N159" t="s">
        <v>332</v>
      </c>
      <c r="Q159" s="5"/>
      <c r="T159" s="9"/>
      <c r="W159" s="9"/>
      <c r="Z159" s="9"/>
      <c r="AC159" s="9"/>
      <c r="AD159" s="58"/>
    </row>
    <row r="160" spans="1:30" ht="3.95" customHeight="1">
      <c r="A160" s="560"/>
      <c r="B160" s="201">
        <f t="shared" si="12"/>
        <v>134</v>
      </c>
      <c r="C160" s="805"/>
      <c r="D160" s="22"/>
      <c r="E160" s="542"/>
      <c r="F160" s="22"/>
      <c r="G160" s="554"/>
      <c r="H160" s="22"/>
      <c r="I160" s="542"/>
      <c r="J160" s="22"/>
      <c r="K160" s="542"/>
      <c r="Q160" s="3"/>
      <c r="AD160" s="58"/>
    </row>
    <row r="161" spans="1:30" ht="15" customHeight="1">
      <c r="A161" s="560"/>
      <c r="B161" s="201">
        <f t="shared" si="12"/>
        <v>135</v>
      </c>
      <c r="C161" s="805"/>
      <c r="D161" s="22"/>
      <c r="E161" s="542"/>
      <c r="F161" s="22"/>
      <c r="G161" s="554"/>
      <c r="H161" s="22"/>
      <c r="I161" s="542"/>
      <c r="J161" s="22"/>
      <c r="K161" s="542"/>
      <c r="M161" s="56" t="b">
        <v>0</v>
      </c>
      <c r="N161" t="s">
        <v>333</v>
      </c>
      <c r="Q161" s="8"/>
      <c r="S161" s="40" t="b">
        <v>0</v>
      </c>
      <c r="T161" s="39" t="s">
        <v>334</v>
      </c>
      <c r="V161" s="106" t="b">
        <v>0</v>
      </c>
      <c r="W161" t="s">
        <v>335</v>
      </c>
      <c r="Y161" s="802" t="b">
        <v>0</v>
      </c>
      <c r="Z161" t="s">
        <v>336</v>
      </c>
      <c r="AD161" s="58"/>
    </row>
    <row r="162" spans="1:30" ht="3.95" customHeight="1">
      <c r="A162" s="560"/>
      <c r="B162" s="201">
        <f t="shared" si="12"/>
        <v>136</v>
      </c>
      <c r="C162" s="805"/>
      <c r="D162" s="22"/>
      <c r="E162" s="542"/>
      <c r="F162" s="22"/>
      <c r="G162" s="554"/>
      <c r="H162" s="22"/>
      <c r="I162" s="542"/>
      <c r="J162" s="22"/>
      <c r="K162" s="542"/>
      <c r="Q162" s="8"/>
      <c r="S162" s="39"/>
      <c r="T162" s="39"/>
      <c r="Y162" s="802"/>
      <c r="AD162" s="58"/>
    </row>
    <row r="163" spans="1:30" ht="15" customHeight="1">
      <c r="A163" s="560"/>
      <c r="B163" s="201">
        <f t="shared" si="12"/>
        <v>137</v>
      </c>
      <c r="C163" s="805"/>
      <c r="D163" s="22"/>
      <c r="E163" s="542"/>
      <c r="F163" s="22"/>
      <c r="G163" s="554"/>
      <c r="H163" s="22"/>
      <c r="I163" s="542"/>
      <c r="J163" s="22"/>
      <c r="K163" s="542"/>
      <c r="N163" s="65" t="s">
        <v>140</v>
      </c>
      <c r="S163" s="803" t="s">
        <v>337</v>
      </c>
      <c r="T163" s="803"/>
      <c r="V163" s="803" t="s">
        <v>338</v>
      </c>
      <c r="W163" s="803"/>
      <c r="Y163" s="802"/>
      <c r="AD163" s="58"/>
    </row>
    <row r="164" spans="1:30" ht="15" customHeight="1">
      <c r="A164" s="560"/>
      <c r="B164" s="201">
        <f t="shared" si="12"/>
        <v>138</v>
      </c>
      <c r="C164" s="805"/>
      <c r="D164" s="22"/>
      <c r="E164" s="542"/>
      <c r="F164" s="22"/>
      <c r="G164" s="554"/>
      <c r="H164" s="22"/>
      <c r="I164" s="542"/>
      <c r="J164" s="22"/>
      <c r="K164" s="542"/>
      <c r="N164" s="672"/>
      <c r="S164" s="56" t="b">
        <v>0</v>
      </c>
      <c r="T164" t="s">
        <v>340</v>
      </c>
      <c r="W164" t="s">
        <v>341</v>
      </c>
      <c r="AD164" s="58"/>
    </row>
    <row r="165" spans="1:30" ht="15" customHeight="1">
      <c r="A165" s="560"/>
      <c r="B165" s="201">
        <f t="shared" si="12"/>
        <v>139</v>
      </c>
      <c r="C165" s="805"/>
      <c r="D165" s="22"/>
      <c r="E165" s="542"/>
      <c r="F165" s="22"/>
      <c r="G165" s="554"/>
      <c r="H165" s="22"/>
      <c r="I165" s="542"/>
      <c r="J165" s="22"/>
      <c r="K165" s="542"/>
      <c r="N165" s="672"/>
      <c r="T165" s="65" t="s">
        <v>142</v>
      </c>
      <c r="W165" s="428" t="s">
        <v>142</v>
      </c>
      <c r="X165" s="65"/>
      <c r="Y165" s="65"/>
      <c r="Z165" s="65"/>
      <c r="AD165" s="58"/>
    </row>
    <row r="166" spans="1:30" ht="15" customHeight="1">
      <c r="A166" s="560"/>
      <c r="B166" s="201">
        <f t="shared" si="12"/>
        <v>140</v>
      </c>
      <c r="C166" s="806"/>
      <c r="D166" s="22"/>
      <c r="E166" s="809"/>
      <c r="F166" s="22"/>
      <c r="G166" s="554"/>
      <c r="H166" s="22"/>
      <c r="I166" s="809"/>
      <c r="J166" s="22"/>
      <c r="K166" s="809"/>
      <c r="N166" s="505"/>
      <c r="T166" s="39"/>
      <c r="W166" s="9"/>
      <c r="X166" s="65"/>
      <c r="Y166" s="65"/>
      <c r="Z166" s="65"/>
      <c r="AD166" s="58"/>
    </row>
    <row r="167" spans="1:30" ht="8.1" customHeight="1" thickBot="1">
      <c r="A167" s="561"/>
      <c r="B167" s="201"/>
      <c r="C167" s="807"/>
      <c r="D167" s="111"/>
      <c r="E167" s="810"/>
      <c r="F167" s="111"/>
      <c r="G167" s="555"/>
      <c r="H167" s="111"/>
      <c r="I167" s="810"/>
      <c r="J167" s="111"/>
      <c r="K167" s="810"/>
      <c r="L167" s="59"/>
      <c r="M167" s="59"/>
      <c r="N167" s="59"/>
      <c r="O167" s="59"/>
      <c r="P167" s="59"/>
      <c r="Q167" s="59"/>
      <c r="R167" s="59"/>
      <c r="S167" s="59"/>
      <c r="T167" s="59"/>
      <c r="U167" s="59"/>
      <c r="V167" s="91"/>
      <c r="W167" s="59"/>
      <c r="X167" s="66"/>
      <c r="Y167" s="66"/>
      <c r="Z167" s="66"/>
      <c r="AA167" s="59"/>
      <c r="AB167" s="59"/>
      <c r="AC167" s="59"/>
      <c r="AD167" s="62"/>
    </row>
    <row r="168" spans="1:30" ht="15" customHeight="1" thickBot="1">
      <c r="C168" s="28"/>
      <c r="D168" s="28"/>
      <c r="E168" s="28"/>
      <c r="F168" s="28"/>
      <c r="G168" s="28"/>
      <c r="H168" s="28"/>
      <c r="I168" s="28"/>
      <c r="J168" s="28"/>
      <c r="K168" s="28"/>
      <c r="L168" s="27"/>
      <c r="M168" s="27"/>
      <c r="N168" s="27"/>
      <c r="O168" s="27"/>
      <c r="P168" s="27"/>
      <c r="Q168" s="27"/>
      <c r="R168" s="27"/>
      <c r="S168" s="27"/>
      <c r="T168" s="27"/>
      <c r="U168" s="27"/>
      <c r="V168" s="94"/>
      <c r="W168" s="27"/>
      <c r="X168" s="27"/>
      <c r="Y168" s="27"/>
      <c r="Z168" s="27"/>
      <c r="AA168" s="27"/>
      <c r="AB168" s="27"/>
      <c r="AC168" s="27"/>
      <c r="AD168" s="27"/>
    </row>
    <row r="169" spans="1:30" ht="15" customHeight="1">
      <c r="A169" s="559">
        <f>A157+1</f>
        <v>14</v>
      </c>
      <c r="B169" s="474">
        <f>(A169*10)+1</f>
        <v>141</v>
      </c>
      <c r="C169" s="804"/>
      <c r="D169" s="70"/>
      <c r="E169" s="808"/>
      <c r="F169" s="70"/>
      <c r="G169" s="553"/>
      <c r="H169" s="70"/>
      <c r="I169" s="808"/>
      <c r="J169" s="70"/>
      <c r="K169" s="808"/>
      <c r="L169" s="54"/>
      <c r="M169" s="52" t="b">
        <v>0</v>
      </c>
      <c r="N169" s="54" t="s">
        <v>325</v>
      </c>
      <c r="O169" s="54"/>
      <c r="P169" s="54"/>
      <c r="Q169" s="54" t="s">
        <v>326</v>
      </c>
      <c r="R169" s="54"/>
      <c r="S169" s="753"/>
      <c r="T169" s="54" t="s">
        <v>327</v>
      </c>
      <c r="U169" s="54"/>
      <c r="V169" s="753"/>
      <c r="W169" s="54" t="s">
        <v>328</v>
      </c>
      <c r="X169" s="54"/>
      <c r="Y169" s="753"/>
      <c r="Z169" s="54" t="s">
        <v>329</v>
      </c>
      <c r="AA169" s="54"/>
      <c r="AB169" s="753"/>
      <c r="AC169" s="54" t="s">
        <v>330</v>
      </c>
      <c r="AD169" s="63"/>
    </row>
    <row r="170" spans="1:30" ht="15" customHeight="1">
      <c r="A170" s="560"/>
      <c r="B170" s="201">
        <f t="shared" ref="B170:B178" si="13">B169+1</f>
        <v>142</v>
      </c>
      <c r="C170" s="805"/>
      <c r="D170" s="22"/>
      <c r="E170" s="542"/>
      <c r="F170" s="22"/>
      <c r="G170" s="554"/>
      <c r="H170" s="22"/>
      <c r="I170" s="542"/>
      <c r="J170" s="22"/>
      <c r="K170" s="542"/>
      <c r="M170" s="56" t="b">
        <v>0</v>
      </c>
      <c r="N170" t="s">
        <v>331</v>
      </c>
      <c r="Q170" s="425" t="s">
        <v>140</v>
      </c>
      <c r="S170" s="754"/>
      <c r="T170" s="425" t="s">
        <v>140</v>
      </c>
      <c r="V170" s="754"/>
      <c r="W170" s="425" t="s">
        <v>140</v>
      </c>
      <c r="Y170" s="754"/>
      <c r="Z170" s="425" t="s">
        <v>140</v>
      </c>
      <c r="AB170" s="754"/>
      <c r="AC170" s="425" t="s">
        <v>140</v>
      </c>
      <c r="AD170" s="58"/>
    </row>
    <row r="171" spans="1:30" ht="15" customHeight="1">
      <c r="A171" s="560"/>
      <c r="B171" s="201">
        <f t="shared" si="13"/>
        <v>143</v>
      </c>
      <c r="C171" s="805"/>
      <c r="D171" s="22"/>
      <c r="E171" s="542"/>
      <c r="F171" s="22"/>
      <c r="G171" s="554"/>
      <c r="H171" s="22"/>
      <c r="I171" s="542"/>
      <c r="J171" s="22"/>
      <c r="K171" s="542"/>
      <c r="M171" s="56" t="b">
        <v>0</v>
      </c>
      <c r="N171" t="s">
        <v>332</v>
      </c>
      <c r="Q171" s="5"/>
      <c r="T171" s="9"/>
      <c r="W171" s="9"/>
      <c r="Z171" s="9"/>
      <c r="AC171" s="9"/>
      <c r="AD171" s="58"/>
    </row>
    <row r="172" spans="1:30" ht="3.95" customHeight="1">
      <c r="A172" s="560"/>
      <c r="B172" s="201">
        <f t="shared" si="13"/>
        <v>144</v>
      </c>
      <c r="C172" s="805"/>
      <c r="D172" s="22"/>
      <c r="E172" s="542"/>
      <c r="F172" s="22"/>
      <c r="G172" s="554"/>
      <c r="H172" s="22"/>
      <c r="I172" s="542"/>
      <c r="J172" s="22"/>
      <c r="K172" s="542"/>
      <c r="Q172" s="3"/>
      <c r="AD172" s="58"/>
    </row>
    <row r="173" spans="1:30" ht="15" customHeight="1">
      <c r="A173" s="560"/>
      <c r="B173" s="201">
        <f t="shared" si="13"/>
        <v>145</v>
      </c>
      <c r="C173" s="805"/>
      <c r="D173" s="22"/>
      <c r="E173" s="542"/>
      <c r="F173" s="22"/>
      <c r="G173" s="554"/>
      <c r="H173" s="22"/>
      <c r="I173" s="542"/>
      <c r="J173" s="22"/>
      <c r="K173" s="542"/>
      <c r="M173" s="56" t="b">
        <v>0</v>
      </c>
      <c r="N173" t="s">
        <v>333</v>
      </c>
      <c r="Q173" s="8"/>
      <c r="S173" s="40" t="b">
        <v>0</v>
      </c>
      <c r="T173" s="39" t="s">
        <v>334</v>
      </c>
      <c r="V173" s="106" t="b">
        <v>0</v>
      </c>
      <c r="W173" t="s">
        <v>335</v>
      </c>
      <c r="Y173" s="802" t="b">
        <v>0</v>
      </c>
      <c r="Z173" t="s">
        <v>336</v>
      </c>
      <c r="AD173" s="58"/>
    </row>
    <row r="174" spans="1:30" ht="3.95" customHeight="1">
      <c r="A174" s="560"/>
      <c r="B174" s="201">
        <f t="shared" si="13"/>
        <v>146</v>
      </c>
      <c r="C174" s="805"/>
      <c r="D174" s="22"/>
      <c r="E174" s="542"/>
      <c r="F174" s="22"/>
      <c r="G174" s="554"/>
      <c r="H174" s="22"/>
      <c r="I174" s="542"/>
      <c r="J174" s="22"/>
      <c r="K174" s="542"/>
      <c r="Q174" s="8"/>
      <c r="S174" s="39"/>
      <c r="T174" s="39"/>
      <c r="Y174" s="802"/>
      <c r="AD174" s="58"/>
    </row>
    <row r="175" spans="1:30" ht="15" customHeight="1">
      <c r="A175" s="560"/>
      <c r="B175" s="201">
        <f t="shared" si="13"/>
        <v>147</v>
      </c>
      <c r="C175" s="805"/>
      <c r="D175" s="22"/>
      <c r="E175" s="542"/>
      <c r="F175" s="22"/>
      <c r="G175" s="554"/>
      <c r="H175" s="22"/>
      <c r="I175" s="542"/>
      <c r="J175" s="22"/>
      <c r="K175" s="542"/>
      <c r="N175" s="65" t="s">
        <v>140</v>
      </c>
      <c r="S175" s="803" t="s">
        <v>337</v>
      </c>
      <c r="T175" s="803"/>
      <c r="V175" s="803" t="s">
        <v>338</v>
      </c>
      <c r="W175" s="803"/>
      <c r="Y175" s="802"/>
      <c r="AD175" s="58"/>
    </row>
    <row r="176" spans="1:30" ht="15" customHeight="1">
      <c r="A176" s="560"/>
      <c r="B176" s="201">
        <f t="shared" si="13"/>
        <v>148</v>
      </c>
      <c r="C176" s="805"/>
      <c r="D176" s="22"/>
      <c r="E176" s="542"/>
      <c r="F176" s="22"/>
      <c r="G176" s="554"/>
      <c r="H176" s="22"/>
      <c r="I176" s="542"/>
      <c r="J176" s="22"/>
      <c r="K176" s="542"/>
      <c r="N176" s="672"/>
      <c r="S176" s="56" t="b">
        <v>0</v>
      </c>
      <c r="T176" t="s">
        <v>340</v>
      </c>
      <c r="W176" t="s">
        <v>341</v>
      </c>
      <c r="AD176" s="58"/>
    </row>
    <row r="177" spans="1:30" ht="15" customHeight="1">
      <c r="A177" s="560"/>
      <c r="B177" s="201">
        <f t="shared" si="13"/>
        <v>149</v>
      </c>
      <c r="C177" s="805"/>
      <c r="D177" s="22"/>
      <c r="E177" s="542"/>
      <c r="F177" s="22"/>
      <c r="G177" s="554"/>
      <c r="H177" s="22"/>
      <c r="I177" s="542"/>
      <c r="J177" s="22"/>
      <c r="K177" s="542"/>
      <c r="N177" s="672"/>
      <c r="T177" s="65" t="s">
        <v>142</v>
      </c>
      <c r="W177" s="428" t="s">
        <v>142</v>
      </c>
      <c r="X177" s="65"/>
      <c r="Y177" s="65"/>
      <c r="Z177" s="65"/>
      <c r="AD177" s="58"/>
    </row>
    <row r="178" spans="1:30" ht="15" customHeight="1">
      <c r="A178" s="560"/>
      <c r="B178" s="201">
        <f t="shared" si="13"/>
        <v>150</v>
      </c>
      <c r="C178" s="806"/>
      <c r="D178" s="22"/>
      <c r="E178" s="809"/>
      <c r="F178" s="22"/>
      <c r="G178" s="554"/>
      <c r="H178" s="22"/>
      <c r="I178" s="809"/>
      <c r="J178" s="22"/>
      <c r="K178" s="809"/>
      <c r="N178" s="505"/>
      <c r="T178" s="39"/>
      <c r="W178" s="9"/>
      <c r="X178" s="65"/>
      <c r="Y178" s="65"/>
      <c r="Z178" s="65"/>
      <c r="AD178" s="58"/>
    </row>
    <row r="179" spans="1:30" ht="8.1" customHeight="1" thickBot="1">
      <c r="A179" s="561"/>
      <c r="B179" s="201"/>
      <c r="C179" s="807"/>
      <c r="D179" s="111"/>
      <c r="E179" s="810"/>
      <c r="F179" s="111"/>
      <c r="G179" s="555"/>
      <c r="H179" s="111"/>
      <c r="I179" s="810"/>
      <c r="J179" s="111"/>
      <c r="K179" s="810"/>
      <c r="L179" s="59"/>
      <c r="M179" s="59"/>
      <c r="N179" s="59"/>
      <c r="O179" s="59"/>
      <c r="P179" s="59"/>
      <c r="Q179" s="59"/>
      <c r="R179" s="59"/>
      <c r="S179" s="59"/>
      <c r="T179" s="59"/>
      <c r="U179" s="59"/>
      <c r="V179" s="91"/>
      <c r="W179" s="59"/>
      <c r="X179" s="66"/>
      <c r="Y179" s="66"/>
      <c r="Z179" s="66"/>
      <c r="AA179" s="59"/>
      <c r="AB179" s="59"/>
      <c r="AC179" s="59"/>
      <c r="AD179" s="62"/>
    </row>
    <row r="180" spans="1:30" ht="15" customHeight="1" thickBot="1">
      <c r="C180" s="28"/>
      <c r="D180" s="28"/>
      <c r="E180" s="28"/>
      <c r="F180" s="28"/>
      <c r="G180" s="28"/>
      <c r="H180" s="28"/>
      <c r="I180" s="28"/>
      <c r="J180" s="28"/>
      <c r="K180" s="28"/>
      <c r="L180" s="27"/>
      <c r="M180" s="27"/>
      <c r="N180" s="27"/>
      <c r="O180" s="27"/>
      <c r="P180" s="27"/>
      <c r="Q180" s="27"/>
      <c r="R180" s="27"/>
      <c r="S180" s="27"/>
      <c r="T180" s="27"/>
      <c r="U180" s="27"/>
      <c r="V180" s="94"/>
      <c r="W180" s="27"/>
      <c r="X180" s="27"/>
      <c r="Y180" s="27"/>
      <c r="Z180" s="27"/>
      <c r="AA180" s="27"/>
      <c r="AB180" s="27"/>
      <c r="AC180" s="27"/>
      <c r="AD180" s="27"/>
    </row>
    <row r="181" spans="1:30" ht="15" customHeight="1">
      <c r="A181" s="559">
        <f>A169+1</f>
        <v>15</v>
      </c>
      <c r="B181" s="474">
        <f>(A181*10)+1</f>
        <v>151</v>
      </c>
      <c r="C181" s="804"/>
      <c r="D181" s="70"/>
      <c r="E181" s="808"/>
      <c r="F181" s="70"/>
      <c r="G181" s="553"/>
      <c r="H181" s="70"/>
      <c r="I181" s="808"/>
      <c r="J181" s="70"/>
      <c r="K181" s="808"/>
      <c r="L181" s="54"/>
      <c r="M181" s="52" t="b">
        <v>0</v>
      </c>
      <c r="N181" s="54" t="s">
        <v>325</v>
      </c>
      <c r="O181" s="54"/>
      <c r="P181" s="54"/>
      <c r="Q181" s="54" t="s">
        <v>326</v>
      </c>
      <c r="R181" s="54"/>
      <c r="S181" s="753"/>
      <c r="T181" s="54" t="s">
        <v>327</v>
      </c>
      <c r="U181" s="54"/>
      <c r="V181" s="753"/>
      <c r="W181" s="54" t="s">
        <v>328</v>
      </c>
      <c r="X181" s="54"/>
      <c r="Y181" s="753"/>
      <c r="Z181" s="54" t="s">
        <v>329</v>
      </c>
      <c r="AA181" s="54"/>
      <c r="AB181" s="753"/>
      <c r="AC181" s="54" t="s">
        <v>330</v>
      </c>
      <c r="AD181" s="63"/>
    </row>
    <row r="182" spans="1:30" ht="15" customHeight="1">
      <c r="A182" s="560"/>
      <c r="B182" s="201">
        <f t="shared" ref="B182:B190" si="14">B181+1</f>
        <v>152</v>
      </c>
      <c r="C182" s="805"/>
      <c r="D182" s="22"/>
      <c r="E182" s="542"/>
      <c r="F182" s="22"/>
      <c r="G182" s="554"/>
      <c r="H182" s="22"/>
      <c r="I182" s="542"/>
      <c r="J182" s="22"/>
      <c r="K182" s="542"/>
      <c r="M182" s="56" t="b">
        <v>0</v>
      </c>
      <c r="N182" t="s">
        <v>331</v>
      </c>
      <c r="Q182" s="425" t="s">
        <v>140</v>
      </c>
      <c r="S182" s="754"/>
      <c r="T182" s="425" t="s">
        <v>140</v>
      </c>
      <c r="V182" s="754"/>
      <c r="W182" s="425" t="s">
        <v>140</v>
      </c>
      <c r="Y182" s="754"/>
      <c r="Z182" s="425" t="s">
        <v>140</v>
      </c>
      <c r="AB182" s="754"/>
      <c r="AC182" s="425" t="s">
        <v>140</v>
      </c>
      <c r="AD182" s="58"/>
    </row>
    <row r="183" spans="1:30" ht="15" customHeight="1">
      <c r="A183" s="560"/>
      <c r="B183" s="201">
        <f t="shared" si="14"/>
        <v>153</v>
      </c>
      <c r="C183" s="805"/>
      <c r="D183" s="22"/>
      <c r="E183" s="542"/>
      <c r="F183" s="22"/>
      <c r="G183" s="554"/>
      <c r="H183" s="22"/>
      <c r="I183" s="542"/>
      <c r="J183" s="22"/>
      <c r="K183" s="542"/>
      <c r="M183" s="56" t="b">
        <v>0</v>
      </c>
      <c r="N183" t="s">
        <v>332</v>
      </c>
      <c r="Q183" s="5"/>
      <c r="T183" s="9"/>
      <c r="W183" s="9"/>
      <c r="Z183" s="9"/>
      <c r="AC183" s="9"/>
      <c r="AD183" s="58"/>
    </row>
    <row r="184" spans="1:30" ht="15" customHeight="1">
      <c r="A184" s="560"/>
      <c r="B184" s="201">
        <f t="shared" si="14"/>
        <v>154</v>
      </c>
      <c r="C184" s="805"/>
      <c r="D184" s="22"/>
      <c r="E184" s="542"/>
      <c r="F184" s="22"/>
      <c r="G184" s="554"/>
      <c r="H184" s="22"/>
      <c r="I184" s="542"/>
      <c r="J184" s="22"/>
      <c r="K184" s="542"/>
      <c r="Q184" s="3"/>
      <c r="AD184" s="58"/>
    </row>
    <row r="185" spans="1:30" ht="15" customHeight="1">
      <c r="A185" s="560"/>
      <c r="B185" s="201">
        <f t="shared" si="14"/>
        <v>155</v>
      </c>
      <c r="C185" s="805"/>
      <c r="D185" s="22"/>
      <c r="E185" s="542"/>
      <c r="F185" s="22"/>
      <c r="G185" s="554"/>
      <c r="H185" s="22"/>
      <c r="I185" s="542"/>
      <c r="J185" s="22"/>
      <c r="K185" s="542"/>
      <c r="M185" s="56" t="b">
        <v>0</v>
      </c>
      <c r="N185" t="s">
        <v>333</v>
      </c>
      <c r="Q185" s="8"/>
      <c r="S185" s="40" t="b">
        <v>0</v>
      </c>
      <c r="T185" s="39" t="s">
        <v>334</v>
      </c>
      <c r="V185" s="106" t="b">
        <v>0</v>
      </c>
      <c r="W185" t="s">
        <v>335</v>
      </c>
      <c r="Y185" s="802" t="b">
        <v>0</v>
      </c>
      <c r="Z185" t="s">
        <v>336</v>
      </c>
      <c r="AD185" s="58"/>
    </row>
    <row r="186" spans="1:30" ht="15" customHeight="1">
      <c r="A186" s="560"/>
      <c r="B186" s="201">
        <f t="shared" si="14"/>
        <v>156</v>
      </c>
      <c r="C186" s="805"/>
      <c r="D186" s="22"/>
      <c r="E186" s="542"/>
      <c r="F186" s="22"/>
      <c r="G186" s="554"/>
      <c r="H186" s="22"/>
      <c r="I186" s="542"/>
      <c r="J186" s="22"/>
      <c r="K186" s="542"/>
      <c r="Q186" s="8"/>
      <c r="S186" s="39"/>
      <c r="T186" s="39"/>
      <c r="Y186" s="802"/>
      <c r="AD186" s="58"/>
    </row>
    <row r="187" spans="1:30" ht="15" customHeight="1">
      <c r="A187" s="560"/>
      <c r="B187" s="201">
        <f t="shared" si="14"/>
        <v>157</v>
      </c>
      <c r="C187" s="805"/>
      <c r="D187" s="22"/>
      <c r="E187" s="542"/>
      <c r="F187" s="22"/>
      <c r="G187" s="554"/>
      <c r="H187" s="22"/>
      <c r="I187" s="542"/>
      <c r="J187" s="22"/>
      <c r="K187" s="542"/>
      <c r="N187" s="65" t="s">
        <v>140</v>
      </c>
      <c r="S187" s="803" t="s">
        <v>337</v>
      </c>
      <c r="T187" s="803"/>
      <c r="V187" s="803" t="s">
        <v>338</v>
      </c>
      <c r="W187" s="803"/>
      <c r="Y187" s="802"/>
      <c r="AD187" s="58"/>
    </row>
    <row r="188" spans="1:30" ht="15" customHeight="1">
      <c r="A188" s="560"/>
      <c r="B188" s="201">
        <f t="shared" si="14"/>
        <v>158</v>
      </c>
      <c r="C188" s="805"/>
      <c r="D188" s="22"/>
      <c r="E188" s="542"/>
      <c r="F188" s="22"/>
      <c r="G188" s="554"/>
      <c r="H188" s="22"/>
      <c r="I188" s="542"/>
      <c r="J188" s="22"/>
      <c r="K188" s="542"/>
      <c r="N188" s="672"/>
      <c r="S188" s="56" t="b">
        <v>0</v>
      </c>
      <c r="T188" t="s">
        <v>340</v>
      </c>
      <c r="W188" t="s">
        <v>341</v>
      </c>
      <c r="AD188" s="58"/>
    </row>
    <row r="189" spans="1:30" ht="15" customHeight="1">
      <c r="A189" s="560"/>
      <c r="B189" s="201">
        <f t="shared" si="14"/>
        <v>159</v>
      </c>
      <c r="C189" s="805"/>
      <c r="D189" s="22"/>
      <c r="E189" s="542"/>
      <c r="F189" s="22"/>
      <c r="G189" s="554"/>
      <c r="H189" s="22"/>
      <c r="I189" s="542"/>
      <c r="J189" s="22"/>
      <c r="K189" s="542"/>
      <c r="N189" s="672"/>
      <c r="T189" s="65" t="s">
        <v>142</v>
      </c>
      <c r="W189" s="428" t="s">
        <v>142</v>
      </c>
      <c r="X189" s="65"/>
      <c r="Y189" s="65"/>
      <c r="Z189" s="65"/>
      <c r="AD189" s="58"/>
    </row>
    <row r="190" spans="1:30" ht="15" customHeight="1">
      <c r="A190" s="560"/>
      <c r="B190" s="201">
        <f t="shared" si="14"/>
        <v>160</v>
      </c>
      <c r="C190" s="806"/>
      <c r="D190" s="22"/>
      <c r="E190" s="809"/>
      <c r="F190" s="22"/>
      <c r="G190" s="554"/>
      <c r="H190" s="22"/>
      <c r="I190" s="809"/>
      <c r="J190" s="22"/>
      <c r="K190" s="809"/>
      <c r="N190" s="505"/>
      <c r="T190" s="39"/>
      <c r="W190" s="9"/>
      <c r="X190" s="65"/>
      <c r="Y190" s="65"/>
      <c r="Z190" s="65"/>
      <c r="AD190" s="58"/>
    </row>
    <row r="191" spans="1:30" ht="15" customHeight="1" thickBot="1">
      <c r="A191" s="561"/>
      <c r="B191" s="201"/>
      <c r="C191" s="807"/>
      <c r="D191" s="111"/>
      <c r="E191" s="810"/>
      <c r="F191" s="111"/>
      <c r="G191" s="555"/>
      <c r="H191" s="111"/>
      <c r="I191" s="810"/>
      <c r="J191" s="111"/>
      <c r="K191" s="810"/>
      <c r="L191" s="59"/>
      <c r="M191" s="59"/>
      <c r="N191" s="59"/>
      <c r="O191" s="59"/>
      <c r="P191" s="59"/>
      <c r="Q191" s="59"/>
      <c r="R191" s="59"/>
      <c r="S191" s="59"/>
      <c r="T191" s="59"/>
      <c r="U191" s="59"/>
      <c r="V191" s="91"/>
      <c r="W191" s="59"/>
      <c r="X191" s="66"/>
      <c r="Y191" s="66"/>
      <c r="Z191" s="66"/>
      <c r="AA191" s="59"/>
      <c r="AB191" s="59"/>
      <c r="AC191" s="59"/>
      <c r="AD191" s="62"/>
    </row>
    <row r="192" spans="1:30" ht="15" customHeight="1" thickBot="1">
      <c r="C192" s="28"/>
      <c r="D192" s="28"/>
      <c r="E192" s="28"/>
      <c r="F192" s="28"/>
      <c r="G192" s="28"/>
      <c r="H192" s="28"/>
      <c r="I192" s="28"/>
      <c r="J192" s="28"/>
      <c r="K192" s="28"/>
      <c r="L192" s="27"/>
      <c r="M192" s="27"/>
      <c r="N192" s="27"/>
      <c r="O192" s="27"/>
      <c r="P192" s="27"/>
      <c r="Q192" s="27"/>
      <c r="R192" s="27"/>
      <c r="S192" s="27"/>
      <c r="T192" s="27"/>
      <c r="U192" s="27"/>
      <c r="V192" s="94"/>
      <c r="W192" s="27"/>
      <c r="X192" s="27"/>
      <c r="Y192" s="27"/>
      <c r="Z192" s="27"/>
      <c r="AA192" s="27"/>
      <c r="AB192" s="27"/>
      <c r="AC192" s="27"/>
      <c r="AD192" s="27"/>
    </row>
    <row r="193" spans="1:30" ht="15" customHeight="1">
      <c r="A193" s="559">
        <f>A181+1</f>
        <v>16</v>
      </c>
      <c r="B193" s="474">
        <f>(A193*10)+1</f>
        <v>161</v>
      </c>
      <c r="C193" s="804"/>
      <c r="D193" s="70"/>
      <c r="E193" s="808"/>
      <c r="F193" s="70"/>
      <c r="G193" s="553"/>
      <c r="H193" s="70"/>
      <c r="I193" s="808"/>
      <c r="J193" s="70"/>
      <c r="K193" s="808"/>
      <c r="L193" s="54"/>
      <c r="M193" s="52" t="b">
        <v>0</v>
      </c>
      <c r="N193" s="54" t="s">
        <v>325</v>
      </c>
      <c r="O193" s="54"/>
      <c r="P193" s="54"/>
      <c r="Q193" s="54" t="s">
        <v>326</v>
      </c>
      <c r="R193" s="54"/>
      <c r="S193" s="753"/>
      <c r="T193" s="54" t="s">
        <v>327</v>
      </c>
      <c r="U193" s="54"/>
      <c r="V193" s="753"/>
      <c r="W193" s="54" t="s">
        <v>328</v>
      </c>
      <c r="X193" s="54"/>
      <c r="Y193" s="753"/>
      <c r="Z193" s="54" t="s">
        <v>329</v>
      </c>
      <c r="AA193" s="54"/>
      <c r="AB193" s="753"/>
      <c r="AC193" s="54" t="s">
        <v>330</v>
      </c>
      <c r="AD193" s="63"/>
    </row>
    <row r="194" spans="1:30" ht="15" customHeight="1">
      <c r="A194" s="560"/>
      <c r="B194" s="201">
        <f t="shared" ref="B194:B202" si="15">B193+1</f>
        <v>162</v>
      </c>
      <c r="C194" s="805"/>
      <c r="D194" s="22"/>
      <c r="E194" s="542"/>
      <c r="F194" s="22"/>
      <c r="G194" s="554"/>
      <c r="H194" s="22"/>
      <c r="I194" s="542"/>
      <c r="J194" s="22"/>
      <c r="K194" s="542"/>
      <c r="M194" s="56" t="b">
        <v>0</v>
      </c>
      <c r="N194" t="s">
        <v>331</v>
      </c>
      <c r="Q194" s="425" t="s">
        <v>140</v>
      </c>
      <c r="S194" s="754"/>
      <c r="T194" s="425" t="s">
        <v>140</v>
      </c>
      <c r="V194" s="754"/>
      <c r="W194" s="425" t="s">
        <v>140</v>
      </c>
      <c r="Y194" s="754"/>
      <c r="Z194" s="425" t="s">
        <v>140</v>
      </c>
      <c r="AB194" s="754"/>
      <c r="AC194" s="425" t="s">
        <v>140</v>
      </c>
      <c r="AD194" s="58"/>
    </row>
    <row r="195" spans="1:30" ht="15" customHeight="1">
      <c r="A195" s="560"/>
      <c r="B195" s="201">
        <f t="shared" si="15"/>
        <v>163</v>
      </c>
      <c r="C195" s="805"/>
      <c r="D195" s="22"/>
      <c r="E195" s="542"/>
      <c r="F195" s="22"/>
      <c r="G195" s="554"/>
      <c r="H195" s="22"/>
      <c r="I195" s="542"/>
      <c r="J195" s="22"/>
      <c r="K195" s="542"/>
      <c r="M195" s="56" t="b">
        <v>0</v>
      </c>
      <c r="N195" t="s">
        <v>332</v>
      </c>
      <c r="Q195" s="5"/>
      <c r="T195" s="9"/>
      <c r="W195" s="9"/>
      <c r="Z195" s="9"/>
      <c r="AC195" s="9"/>
      <c r="AD195" s="58"/>
    </row>
    <row r="196" spans="1:30" ht="15" customHeight="1">
      <c r="A196" s="560"/>
      <c r="B196" s="201">
        <f t="shared" si="15"/>
        <v>164</v>
      </c>
      <c r="C196" s="805"/>
      <c r="D196" s="22"/>
      <c r="E196" s="542"/>
      <c r="F196" s="22"/>
      <c r="G196" s="554"/>
      <c r="H196" s="22"/>
      <c r="I196" s="542"/>
      <c r="J196" s="22"/>
      <c r="K196" s="542"/>
      <c r="Q196" s="3"/>
      <c r="AD196" s="58"/>
    </row>
    <row r="197" spans="1:30" ht="15" customHeight="1">
      <c r="A197" s="560"/>
      <c r="B197" s="201">
        <f t="shared" si="15"/>
        <v>165</v>
      </c>
      <c r="C197" s="805"/>
      <c r="D197" s="22"/>
      <c r="E197" s="542"/>
      <c r="F197" s="22"/>
      <c r="G197" s="554"/>
      <c r="H197" s="22"/>
      <c r="I197" s="542"/>
      <c r="J197" s="22"/>
      <c r="K197" s="542"/>
      <c r="M197" s="56" t="b">
        <v>0</v>
      </c>
      <c r="N197" t="s">
        <v>333</v>
      </c>
      <c r="Q197" s="8"/>
      <c r="S197" s="40" t="b">
        <v>0</v>
      </c>
      <c r="T197" s="39" t="s">
        <v>334</v>
      </c>
      <c r="V197" s="106" t="b">
        <v>0</v>
      </c>
      <c r="W197" t="s">
        <v>335</v>
      </c>
      <c r="Y197" s="802" t="b">
        <v>0</v>
      </c>
      <c r="Z197" t="s">
        <v>336</v>
      </c>
      <c r="AD197" s="58"/>
    </row>
    <row r="198" spans="1:30" ht="15" customHeight="1">
      <c r="A198" s="560"/>
      <c r="B198" s="201">
        <f t="shared" si="15"/>
        <v>166</v>
      </c>
      <c r="C198" s="805"/>
      <c r="D198" s="22"/>
      <c r="E198" s="542"/>
      <c r="F198" s="22"/>
      <c r="G198" s="554"/>
      <c r="H198" s="22"/>
      <c r="I198" s="542"/>
      <c r="J198" s="22"/>
      <c r="K198" s="542"/>
      <c r="Q198" s="8"/>
      <c r="S198" s="39"/>
      <c r="T198" s="39"/>
      <c r="Y198" s="802"/>
      <c r="AD198" s="58"/>
    </row>
    <row r="199" spans="1:30" ht="15" customHeight="1">
      <c r="A199" s="560"/>
      <c r="B199" s="201">
        <f t="shared" si="15"/>
        <v>167</v>
      </c>
      <c r="C199" s="805"/>
      <c r="D199" s="22"/>
      <c r="E199" s="542"/>
      <c r="F199" s="22"/>
      <c r="G199" s="554"/>
      <c r="H199" s="22"/>
      <c r="I199" s="542"/>
      <c r="J199" s="22"/>
      <c r="K199" s="542"/>
      <c r="N199" s="65" t="s">
        <v>140</v>
      </c>
      <c r="S199" s="803" t="s">
        <v>337</v>
      </c>
      <c r="T199" s="803"/>
      <c r="V199" s="803" t="s">
        <v>338</v>
      </c>
      <c r="W199" s="803"/>
      <c r="Y199" s="802"/>
      <c r="AD199" s="58"/>
    </row>
    <row r="200" spans="1:30" ht="15" customHeight="1">
      <c r="A200" s="560"/>
      <c r="B200" s="201">
        <f t="shared" si="15"/>
        <v>168</v>
      </c>
      <c r="C200" s="805"/>
      <c r="D200" s="22"/>
      <c r="E200" s="542"/>
      <c r="F200" s="22"/>
      <c r="G200" s="554"/>
      <c r="H200" s="22"/>
      <c r="I200" s="542"/>
      <c r="J200" s="22"/>
      <c r="K200" s="542"/>
      <c r="N200" s="672"/>
      <c r="S200" s="56" t="b">
        <v>0</v>
      </c>
      <c r="T200" t="s">
        <v>340</v>
      </c>
      <c r="W200" t="s">
        <v>341</v>
      </c>
      <c r="AD200" s="58"/>
    </row>
    <row r="201" spans="1:30" ht="15" customHeight="1">
      <c r="A201" s="560"/>
      <c r="B201" s="201">
        <f t="shared" si="15"/>
        <v>169</v>
      </c>
      <c r="C201" s="805"/>
      <c r="D201" s="22"/>
      <c r="E201" s="542"/>
      <c r="F201" s="22"/>
      <c r="G201" s="554"/>
      <c r="H201" s="22"/>
      <c r="I201" s="542"/>
      <c r="J201" s="22"/>
      <c r="K201" s="542"/>
      <c r="N201" s="672"/>
      <c r="T201" s="65" t="s">
        <v>142</v>
      </c>
      <c r="W201" s="428" t="s">
        <v>142</v>
      </c>
      <c r="X201" s="65"/>
      <c r="Y201" s="65"/>
      <c r="Z201" s="65"/>
      <c r="AD201" s="58"/>
    </row>
    <row r="202" spans="1:30" ht="15" customHeight="1">
      <c r="A202" s="560"/>
      <c r="B202" s="201">
        <f t="shared" si="15"/>
        <v>170</v>
      </c>
      <c r="C202" s="806"/>
      <c r="D202" s="22"/>
      <c r="E202" s="809"/>
      <c r="F202" s="22"/>
      <c r="G202" s="554"/>
      <c r="H202" s="22"/>
      <c r="I202" s="809"/>
      <c r="J202" s="22"/>
      <c r="K202" s="809"/>
      <c r="N202" s="505"/>
      <c r="T202" s="39"/>
      <c r="W202" s="9"/>
      <c r="X202" s="65"/>
      <c r="Y202" s="65"/>
      <c r="Z202" s="65"/>
      <c r="AD202" s="58"/>
    </row>
    <row r="203" spans="1:30" ht="8.1" customHeight="1" thickBot="1">
      <c r="A203" s="561"/>
      <c r="B203" s="201"/>
      <c r="C203" s="807"/>
      <c r="D203" s="111"/>
      <c r="E203" s="810"/>
      <c r="F203" s="111"/>
      <c r="G203" s="555"/>
      <c r="H203" s="111"/>
      <c r="I203" s="810"/>
      <c r="J203" s="111"/>
      <c r="K203" s="810"/>
      <c r="L203" s="59"/>
      <c r="M203" s="59"/>
      <c r="N203" s="59"/>
      <c r="O203" s="59"/>
      <c r="P203" s="59"/>
      <c r="Q203" s="59"/>
      <c r="R203" s="59"/>
      <c r="S203" s="59"/>
      <c r="T203" s="59"/>
      <c r="U203" s="59"/>
      <c r="V203" s="91"/>
      <c r="W203" s="59"/>
      <c r="X203" s="66"/>
      <c r="Y203" s="66"/>
      <c r="Z203" s="66"/>
      <c r="AA203" s="59"/>
      <c r="AB203" s="59"/>
      <c r="AC203" s="59"/>
      <c r="AD203" s="62"/>
    </row>
    <row r="204" spans="1:30" ht="15" customHeight="1" thickBot="1">
      <c r="C204" s="28"/>
      <c r="D204" s="28"/>
      <c r="E204" s="28"/>
      <c r="F204" s="28"/>
      <c r="G204" s="28"/>
      <c r="H204" s="28"/>
      <c r="I204" s="28"/>
      <c r="J204" s="28"/>
      <c r="K204" s="28"/>
      <c r="L204" s="27"/>
      <c r="M204" s="27"/>
      <c r="N204" s="27"/>
      <c r="O204" s="27"/>
      <c r="P204" s="27"/>
      <c r="Q204" s="27"/>
      <c r="R204" s="27"/>
      <c r="S204" s="27"/>
      <c r="T204" s="27"/>
      <c r="U204" s="27"/>
      <c r="V204" s="94"/>
      <c r="W204" s="27"/>
      <c r="X204" s="27"/>
      <c r="Y204" s="27"/>
      <c r="Z204" s="27"/>
      <c r="AA204" s="27"/>
      <c r="AB204" s="27"/>
      <c r="AC204" s="27"/>
      <c r="AD204" s="27"/>
    </row>
    <row r="205" spans="1:30" ht="15" customHeight="1">
      <c r="A205" s="559">
        <f>A193+1</f>
        <v>17</v>
      </c>
      <c r="B205" s="474">
        <f>(A205*10)+1</f>
        <v>171</v>
      </c>
      <c r="C205" s="804"/>
      <c r="D205" s="70"/>
      <c r="E205" s="808"/>
      <c r="F205" s="70"/>
      <c r="G205" s="553"/>
      <c r="H205" s="70"/>
      <c r="I205" s="808"/>
      <c r="J205" s="70"/>
      <c r="K205" s="808"/>
      <c r="L205" s="54"/>
      <c r="M205" s="52" t="b">
        <v>0</v>
      </c>
      <c r="N205" s="54" t="s">
        <v>325</v>
      </c>
      <c r="O205" s="54"/>
      <c r="P205" s="54"/>
      <c r="Q205" s="54" t="s">
        <v>326</v>
      </c>
      <c r="R205" s="54"/>
      <c r="S205" s="753"/>
      <c r="T205" s="54" t="s">
        <v>327</v>
      </c>
      <c r="U205" s="54"/>
      <c r="V205" s="753"/>
      <c r="W205" s="54" t="s">
        <v>328</v>
      </c>
      <c r="X205" s="54"/>
      <c r="Y205" s="753"/>
      <c r="Z205" s="54" t="s">
        <v>329</v>
      </c>
      <c r="AA205" s="54"/>
      <c r="AB205" s="753"/>
      <c r="AC205" s="54" t="s">
        <v>330</v>
      </c>
      <c r="AD205" s="63"/>
    </row>
    <row r="206" spans="1:30" ht="15" customHeight="1">
      <c r="A206" s="560"/>
      <c r="B206" s="201">
        <f t="shared" ref="B206:B214" si="16">B205+1</f>
        <v>172</v>
      </c>
      <c r="C206" s="805"/>
      <c r="D206" s="22"/>
      <c r="E206" s="542"/>
      <c r="F206" s="22"/>
      <c r="G206" s="554"/>
      <c r="H206" s="22"/>
      <c r="I206" s="542"/>
      <c r="J206" s="22"/>
      <c r="K206" s="542"/>
      <c r="M206" s="56" t="b">
        <v>0</v>
      </c>
      <c r="N206" t="s">
        <v>331</v>
      </c>
      <c r="Q206" s="425" t="s">
        <v>140</v>
      </c>
      <c r="S206" s="754"/>
      <c r="T206" s="425" t="s">
        <v>140</v>
      </c>
      <c r="V206" s="754"/>
      <c r="W206" s="425" t="s">
        <v>140</v>
      </c>
      <c r="Y206" s="754"/>
      <c r="Z206" s="425" t="s">
        <v>140</v>
      </c>
      <c r="AB206" s="754"/>
      <c r="AC206" s="425" t="s">
        <v>140</v>
      </c>
      <c r="AD206" s="58"/>
    </row>
    <row r="207" spans="1:30" ht="15" customHeight="1">
      <c r="A207" s="560"/>
      <c r="B207" s="201">
        <f t="shared" si="16"/>
        <v>173</v>
      </c>
      <c r="C207" s="805"/>
      <c r="D207" s="22"/>
      <c r="E207" s="542"/>
      <c r="F207" s="22"/>
      <c r="G207" s="554"/>
      <c r="H207" s="22"/>
      <c r="I207" s="542"/>
      <c r="J207" s="22"/>
      <c r="K207" s="542"/>
      <c r="M207" s="56" t="b">
        <v>0</v>
      </c>
      <c r="N207" t="s">
        <v>332</v>
      </c>
      <c r="Q207" s="5"/>
      <c r="T207" s="9"/>
      <c r="W207" s="9"/>
      <c r="Z207" s="9"/>
      <c r="AC207" s="9"/>
      <c r="AD207" s="58"/>
    </row>
    <row r="208" spans="1:30" ht="15" customHeight="1">
      <c r="A208" s="560"/>
      <c r="B208" s="201">
        <f t="shared" si="16"/>
        <v>174</v>
      </c>
      <c r="C208" s="805"/>
      <c r="D208" s="22"/>
      <c r="E208" s="542"/>
      <c r="F208" s="22"/>
      <c r="G208" s="554"/>
      <c r="H208" s="22"/>
      <c r="I208" s="542"/>
      <c r="J208" s="22"/>
      <c r="K208" s="542"/>
      <c r="Q208" s="3"/>
      <c r="AD208" s="58"/>
    </row>
    <row r="209" spans="1:30" ht="15" customHeight="1">
      <c r="A209" s="560"/>
      <c r="B209" s="201">
        <f t="shared" si="16"/>
        <v>175</v>
      </c>
      <c r="C209" s="805"/>
      <c r="D209" s="22"/>
      <c r="E209" s="542"/>
      <c r="F209" s="22"/>
      <c r="G209" s="554"/>
      <c r="H209" s="22"/>
      <c r="I209" s="542"/>
      <c r="J209" s="22"/>
      <c r="K209" s="542"/>
      <c r="M209" s="56" t="b">
        <v>0</v>
      </c>
      <c r="N209" t="s">
        <v>333</v>
      </c>
      <c r="Q209" s="8"/>
      <c r="S209" s="40" t="b">
        <v>0</v>
      </c>
      <c r="T209" s="39" t="s">
        <v>334</v>
      </c>
      <c r="V209" s="106" t="b">
        <v>0</v>
      </c>
      <c r="W209" t="s">
        <v>335</v>
      </c>
      <c r="Y209" s="802" t="b">
        <v>0</v>
      </c>
      <c r="Z209" t="s">
        <v>336</v>
      </c>
      <c r="AD209" s="58"/>
    </row>
    <row r="210" spans="1:30" ht="15" customHeight="1">
      <c r="A210" s="560"/>
      <c r="B210" s="201">
        <f t="shared" si="16"/>
        <v>176</v>
      </c>
      <c r="C210" s="805"/>
      <c r="D210" s="22"/>
      <c r="E210" s="542"/>
      <c r="F210" s="22"/>
      <c r="G210" s="554"/>
      <c r="H210" s="22"/>
      <c r="I210" s="542"/>
      <c r="J210" s="22"/>
      <c r="K210" s="542"/>
      <c r="Q210" s="8"/>
      <c r="S210" s="39"/>
      <c r="T210" s="39"/>
      <c r="Y210" s="802"/>
      <c r="AD210" s="58"/>
    </row>
    <row r="211" spans="1:30" ht="15" customHeight="1">
      <c r="A211" s="560"/>
      <c r="B211" s="201">
        <f t="shared" si="16"/>
        <v>177</v>
      </c>
      <c r="C211" s="805"/>
      <c r="D211" s="22"/>
      <c r="E211" s="542"/>
      <c r="F211" s="22"/>
      <c r="G211" s="554"/>
      <c r="H211" s="22"/>
      <c r="I211" s="542"/>
      <c r="J211" s="22"/>
      <c r="K211" s="542"/>
      <c r="N211" s="65" t="s">
        <v>140</v>
      </c>
      <c r="S211" s="803" t="s">
        <v>337</v>
      </c>
      <c r="T211" s="803"/>
      <c r="V211" s="803" t="s">
        <v>338</v>
      </c>
      <c r="W211" s="803"/>
      <c r="Y211" s="802"/>
      <c r="AD211" s="58"/>
    </row>
    <row r="212" spans="1:30">
      <c r="A212" s="560"/>
      <c r="B212" s="201">
        <f t="shared" si="16"/>
        <v>178</v>
      </c>
      <c r="C212" s="805"/>
      <c r="D212" s="22"/>
      <c r="E212" s="542"/>
      <c r="F212" s="22"/>
      <c r="G212" s="554"/>
      <c r="H212" s="22"/>
      <c r="I212" s="542"/>
      <c r="J212" s="22"/>
      <c r="K212" s="542"/>
      <c r="N212" s="672"/>
      <c r="S212" s="56" t="b">
        <v>0</v>
      </c>
      <c r="T212" t="s">
        <v>340</v>
      </c>
      <c r="W212" t="s">
        <v>341</v>
      </c>
      <c r="AD212" s="58"/>
    </row>
    <row r="213" spans="1:30">
      <c r="A213" s="560"/>
      <c r="B213" s="201">
        <f t="shared" si="16"/>
        <v>179</v>
      </c>
      <c r="C213" s="805"/>
      <c r="D213" s="22"/>
      <c r="E213" s="542"/>
      <c r="F213" s="22"/>
      <c r="G213" s="554"/>
      <c r="H213" s="22"/>
      <c r="I213" s="542"/>
      <c r="J213" s="22"/>
      <c r="K213" s="542"/>
      <c r="N213" s="672"/>
      <c r="T213" s="65" t="s">
        <v>142</v>
      </c>
      <c r="W213" s="428" t="s">
        <v>142</v>
      </c>
      <c r="X213" s="65"/>
      <c r="Y213" s="65"/>
      <c r="Z213" s="65"/>
      <c r="AD213" s="58"/>
    </row>
    <row r="214" spans="1:30">
      <c r="A214" s="560"/>
      <c r="B214" s="201">
        <f t="shared" si="16"/>
        <v>180</v>
      </c>
      <c r="C214" s="806"/>
      <c r="D214" s="22"/>
      <c r="E214" s="809"/>
      <c r="F214" s="22"/>
      <c r="G214" s="554"/>
      <c r="H214" s="22"/>
      <c r="I214" s="809"/>
      <c r="J214" s="22"/>
      <c r="K214" s="809"/>
      <c r="N214" s="505"/>
      <c r="T214" s="39"/>
      <c r="W214" s="9"/>
      <c r="X214" s="65"/>
      <c r="Y214" s="65"/>
      <c r="Z214" s="65"/>
      <c r="AD214" s="58"/>
    </row>
    <row r="215" spans="1:30" ht="8.1" customHeight="1" thickBot="1">
      <c r="A215" s="561"/>
      <c r="B215" s="201"/>
      <c r="C215" s="807"/>
      <c r="D215" s="111"/>
      <c r="E215" s="810"/>
      <c r="F215" s="111"/>
      <c r="G215" s="555"/>
      <c r="H215" s="111"/>
      <c r="I215" s="810"/>
      <c r="J215" s="111"/>
      <c r="K215" s="810"/>
      <c r="L215" s="59"/>
      <c r="M215" s="59"/>
      <c r="N215" s="59"/>
      <c r="O215" s="59"/>
      <c r="P215" s="59"/>
      <c r="Q215" s="59"/>
      <c r="R215" s="59"/>
      <c r="S215" s="59"/>
      <c r="T215" s="59"/>
      <c r="U215" s="59"/>
      <c r="V215" s="91"/>
      <c r="W215" s="59"/>
      <c r="X215" s="66"/>
      <c r="Y215" s="66"/>
      <c r="Z215" s="66"/>
      <c r="AA215" s="59"/>
      <c r="AB215" s="59"/>
      <c r="AC215" s="59"/>
      <c r="AD215" s="62"/>
    </row>
    <row r="216" spans="1:30" ht="15" thickBot="1">
      <c r="C216" s="28"/>
      <c r="D216" s="28"/>
      <c r="E216" s="28"/>
      <c r="F216" s="28"/>
      <c r="G216" s="28"/>
      <c r="H216" s="28"/>
      <c r="I216" s="28"/>
      <c r="J216" s="28"/>
      <c r="K216" s="28"/>
      <c r="L216" s="27"/>
      <c r="M216" s="27"/>
      <c r="N216" s="27"/>
      <c r="O216" s="27"/>
      <c r="P216" s="27"/>
      <c r="Q216" s="27"/>
      <c r="R216" s="27"/>
      <c r="S216" s="27"/>
      <c r="T216" s="27"/>
      <c r="U216" s="27"/>
      <c r="V216" s="94"/>
      <c r="W216" s="27"/>
      <c r="X216" s="27"/>
      <c r="Y216" s="27"/>
      <c r="Z216" s="27"/>
      <c r="AA216" s="27"/>
      <c r="AB216" s="27"/>
      <c r="AC216" s="27"/>
      <c r="AD216" s="27"/>
    </row>
    <row r="217" spans="1:30">
      <c r="A217" s="559">
        <f>A205+1</f>
        <v>18</v>
      </c>
      <c r="B217" s="474">
        <f>(A217*10)+1</f>
        <v>181</v>
      </c>
      <c r="C217" s="804"/>
      <c r="D217" s="70"/>
      <c r="E217" s="808"/>
      <c r="F217" s="70"/>
      <c r="G217" s="553"/>
      <c r="H217" s="70"/>
      <c r="I217" s="808"/>
      <c r="J217" s="70"/>
      <c r="K217" s="808"/>
      <c r="L217" s="54"/>
      <c r="M217" s="52" t="b">
        <v>0</v>
      </c>
      <c r="N217" s="54" t="s">
        <v>325</v>
      </c>
      <c r="O217" s="54"/>
      <c r="P217" s="54"/>
      <c r="Q217" s="54" t="s">
        <v>326</v>
      </c>
      <c r="R217" s="54"/>
      <c r="S217" s="753"/>
      <c r="T217" s="54" t="s">
        <v>327</v>
      </c>
      <c r="U217" s="54"/>
      <c r="V217" s="753"/>
      <c r="W217" s="54" t="s">
        <v>328</v>
      </c>
      <c r="X217" s="54"/>
      <c r="Y217" s="753"/>
      <c r="Z217" s="54" t="s">
        <v>329</v>
      </c>
      <c r="AA217" s="54"/>
      <c r="AB217" s="753"/>
      <c r="AC217" s="54" t="s">
        <v>330</v>
      </c>
      <c r="AD217" s="63"/>
    </row>
    <row r="218" spans="1:30">
      <c r="A218" s="560"/>
      <c r="B218" s="201">
        <f t="shared" ref="B218:B226" si="17">B217+1</f>
        <v>182</v>
      </c>
      <c r="C218" s="805"/>
      <c r="D218" s="22"/>
      <c r="E218" s="542"/>
      <c r="F218" s="22"/>
      <c r="G218" s="554"/>
      <c r="H218" s="22"/>
      <c r="I218" s="542"/>
      <c r="J218" s="22"/>
      <c r="K218" s="542"/>
      <c r="M218" s="56" t="b">
        <v>0</v>
      </c>
      <c r="N218" t="s">
        <v>331</v>
      </c>
      <c r="Q218" s="425" t="s">
        <v>140</v>
      </c>
      <c r="S218" s="754"/>
      <c r="T218" s="425" t="s">
        <v>140</v>
      </c>
      <c r="V218" s="754"/>
      <c r="W218" s="425" t="s">
        <v>140</v>
      </c>
      <c r="Y218" s="754"/>
      <c r="Z218" s="425" t="s">
        <v>140</v>
      </c>
      <c r="AB218" s="754"/>
      <c r="AC218" s="425" t="s">
        <v>140</v>
      </c>
      <c r="AD218" s="58"/>
    </row>
    <row r="219" spans="1:30">
      <c r="A219" s="560"/>
      <c r="B219" s="201">
        <f t="shared" si="17"/>
        <v>183</v>
      </c>
      <c r="C219" s="805"/>
      <c r="D219" s="22"/>
      <c r="E219" s="542"/>
      <c r="F219" s="22"/>
      <c r="G219" s="554"/>
      <c r="H219" s="22"/>
      <c r="I219" s="542"/>
      <c r="J219" s="22"/>
      <c r="K219" s="542"/>
      <c r="M219" s="56" t="b">
        <v>0</v>
      </c>
      <c r="N219" t="s">
        <v>332</v>
      </c>
      <c r="Q219" s="5"/>
      <c r="T219" s="9"/>
      <c r="W219" s="9"/>
      <c r="Z219" s="9"/>
      <c r="AC219" s="9"/>
      <c r="AD219" s="58"/>
    </row>
    <row r="220" spans="1:30">
      <c r="A220" s="560"/>
      <c r="B220" s="201">
        <f t="shared" si="17"/>
        <v>184</v>
      </c>
      <c r="C220" s="805"/>
      <c r="D220" s="22"/>
      <c r="E220" s="542"/>
      <c r="F220" s="22"/>
      <c r="G220" s="554"/>
      <c r="H220" s="22"/>
      <c r="I220" s="542"/>
      <c r="J220" s="22"/>
      <c r="K220" s="542"/>
      <c r="Q220" s="3"/>
      <c r="AD220" s="58"/>
    </row>
    <row r="221" spans="1:30">
      <c r="A221" s="560"/>
      <c r="B221" s="201">
        <f t="shared" si="17"/>
        <v>185</v>
      </c>
      <c r="C221" s="805"/>
      <c r="D221" s="22"/>
      <c r="E221" s="542"/>
      <c r="F221" s="22"/>
      <c r="G221" s="554"/>
      <c r="H221" s="22"/>
      <c r="I221" s="542"/>
      <c r="J221" s="22"/>
      <c r="K221" s="542"/>
      <c r="M221" s="56" t="b">
        <v>0</v>
      </c>
      <c r="N221" t="s">
        <v>333</v>
      </c>
      <c r="Q221" s="8"/>
      <c r="S221" s="40" t="b">
        <v>0</v>
      </c>
      <c r="T221" s="39" t="s">
        <v>334</v>
      </c>
      <c r="V221" s="106" t="b">
        <v>0</v>
      </c>
      <c r="W221" t="s">
        <v>335</v>
      </c>
      <c r="Y221" s="802" t="b">
        <v>0</v>
      </c>
      <c r="Z221" t="s">
        <v>336</v>
      </c>
      <c r="AD221" s="58"/>
    </row>
    <row r="222" spans="1:30">
      <c r="A222" s="560"/>
      <c r="B222" s="201">
        <f t="shared" si="17"/>
        <v>186</v>
      </c>
      <c r="C222" s="805"/>
      <c r="D222" s="22"/>
      <c r="E222" s="542"/>
      <c r="F222" s="22"/>
      <c r="G222" s="554"/>
      <c r="H222" s="22"/>
      <c r="I222" s="542"/>
      <c r="J222" s="22"/>
      <c r="K222" s="542"/>
      <c r="Q222" s="8"/>
      <c r="S222" s="39"/>
      <c r="T222" s="39"/>
      <c r="Y222" s="802"/>
      <c r="AD222" s="58"/>
    </row>
    <row r="223" spans="1:30">
      <c r="A223" s="560"/>
      <c r="B223" s="201">
        <f t="shared" si="17"/>
        <v>187</v>
      </c>
      <c r="C223" s="805"/>
      <c r="D223" s="22"/>
      <c r="E223" s="542"/>
      <c r="F223" s="22"/>
      <c r="G223" s="554"/>
      <c r="H223" s="22"/>
      <c r="I223" s="542"/>
      <c r="J223" s="22"/>
      <c r="K223" s="542"/>
      <c r="N223" s="65" t="s">
        <v>140</v>
      </c>
      <c r="S223" s="803" t="s">
        <v>337</v>
      </c>
      <c r="T223" s="803"/>
      <c r="V223" s="803" t="s">
        <v>338</v>
      </c>
      <c r="W223" s="803"/>
      <c r="Y223" s="802"/>
      <c r="AD223" s="58"/>
    </row>
    <row r="224" spans="1:30">
      <c r="A224" s="560"/>
      <c r="B224" s="201">
        <f t="shared" si="17"/>
        <v>188</v>
      </c>
      <c r="C224" s="805"/>
      <c r="D224" s="22"/>
      <c r="E224" s="542"/>
      <c r="F224" s="22"/>
      <c r="G224" s="554"/>
      <c r="H224" s="22"/>
      <c r="I224" s="542"/>
      <c r="J224" s="22"/>
      <c r="K224" s="542"/>
      <c r="N224" s="672"/>
      <c r="S224" s="56" t="b">
        <v>0</v>
      </c>
      <c r="T224" t="s">
        <v>340</v>
      </c>
      <c r="W224" t="s">
        <v>341</v>
      </c>
      <c r="AD224" s="58"/>
    </row>
    <row r="225" spans="1:30">
      <c r="A225" s="560"/>
      <c r="B225" s="201">
        <f t="shared" si="17"/>
        <v>189</v>
      </c>
      <c r="C225" s="805"/>
      <c r="D225" s="22"/>
      <c r="E225" s="542"/>
      <c r="F225" s="22"/>
      <c r="G225" s="554"/>
      <c r="H225" s="22"/>
      <c r="I225" s="542"/>
      <c r="J225" s="22"/>
      <c r="K225" s="542"/>
      <c r="N225" s="672"/>
      <c r="T225" s="65" t="s">
        <v>142</v>
      </c>
      <c r="W225" s="428" t="s">
        <v>142</v>
      </c>
      <c r="X225" s="65"/>
      <c r="Y225" s="65"/>
      <c r="Z225" s="65"/>
      <c r="AD225" s="58"/>
    </row>
    <row r="226" spans="1:30">
      <c r="A226" s="560"/>
      <c r="B226" s="201">
        <f t="shared" si="17"/>
        <v>190</v>
      </c>
      <c r="C226" s="806"/>
      <c r="D226" s="22"/>
      <c r="E226" s="809"/>
      <c r="F226" s="22"/>
      <c r="G226" s="554"/>
      <c r="H226" s="22"/>
      <c r="I226" s="809"/>
      <c r="J226" s="22"/>
      <c r="K226" s="809"/>
      <c r="N226" s="505"/>
      <c r="T226" s="39"/>
      <c r="W226" s="9"/>
      <c r="X226" s="65"/>
      <c r="Y226" s="65"/>
      <c r="Z226" s="65"/>
      <c r="AD226" s="58"/>
    </row>
    <row r="227" spans="1:30" ht="8.1" customHeight="1" thickBot="1">
      <c r="A227" s="561"/>
      <c r="B227" s="201"/>
      <c r="C227" s="807"/>
      <c r="D227" s="111"/>
      <c r="E227" s="810"/>
      <c r="F227" s="111"/>
      <c r="G227" s="555"/>
      <c r="H227" s="111"/>
      <c r="I227" s="810"/>
      <c r="J227" s="111"/>
      <c r="K227" s="810"/>
      <c r="L227" s="59"/>
      <c r="M227" s="59"/>
      <c r="N227" s="59"/>
      <c r="O227" s="59"/>
      <c r="P227" s="59"/>
      <c r="Q227" s="59"/>
      <c r="R227" s="59"/>
      <c r="S227" s="59"/>
      <c r="T227" s="59"/>
      <c r="U227" s="59"/>
      <c r="V227" s="91"/>
      <c r="W227" s="59"/>
      <c r="X227" s="66"/>
      <c r="Y227" s="66"/>
      <c r="Z227" s="66"/>
      <c r="AA227" s="59"/>
      <c r="AB227" s="59"/>
      <c r="AC227" s="59"/>
      <c r="AD227" s="62"/>
    </row>
    <row r="228" spans="1:30" ht="15" thickBot="1">
      <c r="C228" s="28"/>
      <c r="D228" s="28"/>
      <c r="E228" s="28"/>
      <c r="F228" s="28"/>
      <c r="G228" s="28"/>
      <c r="H228" s="28"/>
      <c r="I228" s="28"/>
      <c r="J228" s="28"/>
      <c r="K228" s="28"/>
      <c r="L228" s="27"/>
      <c r="M228" s="27"/>
      <c r="N228" s="27"/>
      <c r="O228" s="27"/>
      <c r="P228" s="27"/>
      <c r="Q228" s="27"/>
      <c r="R228" s="27"/>
      <c r="S228" s="27"/>
      <c r="T228" s="27"/>
      <c r="U228" s="27"/>
      <c r="V228" s="94"/>
      <c r="W228" s="27"/>
      <c r="X228" s="27"/>
      <c r="Y228" s="27"/>
      <c r="Z228" s="27"/>
      <c r="AA228" s="27"/>
      <c r="AB228" s="27"/>
      <c r="AC228" s="27"/>
      <c r="AD228" s="27"/>
    </row>
    <row r="229" spans="1:30">
      <c r="A229" s="559">
        <f>A217+1</f>
        <v>19</v>
      </c>
      <c r="B229" s="474">
        <f>(A229*10)+1</f>
        <v>191</v>
      </c>
      <c r="C229" s="804"/>
      <c r="D229" s="70"/>
      <c r="E229" s="808"/>
      <c r="F229" s="70"/>
      <c r="G229" s="553"/>
      <c r="H229" s="70"/>
      <c r="I229" s="808"/>
      <c r="J229" s="70"/>
      <c r="K229" s="808"/>
      <c r="L229" s="54"/>
      <c r="M229" s="52" t="b">
        <v>0</v>
      </c>
      <c r="N229" s="54" t="s">
        <v>325</v>
      </c>
      <c r="O229" s="54"/>
      <c r="P229" s="54"/>
      <c r="Q229" s="54" t="s">
        <v>326</v>
      </c>
      <c r="R229" s="54"/>
      <c r="S229" s="753"/>
      <c r="T229" s="54" t="s">
        <v>327</v>
      </c>
      <c r="U229" s="54"/>
      <c r="V229" s="753"/>
      <c r="W229" s="54" t="s">
        <v>328</v>
      </c>
      <c r="X229" s="54"/>
      <c r="Y229" s="753"/>
      <c r="Z229" s="54" t="s">
        <v>329</v>
      </c>
      <c r="AA229" s="54"/>
      <c r="AB229" s="753"/>
      <c r="AC229" s="54" t="s">
        <v>330</v>
      </c>
      <c r="AD229" s="63"/>
    </row>
    <row r="230" spans="1:30">
      <c r="A230" s="560"/>
      <c r="B230" s="201">
        <f t="shared" ref="B230:B238" si="18">B229+1</f>
        <v>192</v>
      </c>
      <c r="C230" s="805"/>
      <c r="D230" s="22"/>
      <c r="E230" s="542"/>
      <c r="F230" s="22"/>
      <c r="G230" s="554"/>
      <c r="H230" s="22"/>
      <c r="I230" s="542"/>
      <c r="J230" s="22"/>
      <c r="K230" s="542"/>
      <c r="M230" s="56" t="b">
        <v>0</v>
      </c>
      <c r="N230" t="s">
        <v>331</v>
      </c>
      <c r="Q230" s="425" t="s">
        <v>140</v>
      </c>
      <c r="S230" s="754"/>
      <c r="T230" s="425" t="s">
        <v>140</v>
      </c>
      <c r="V230" s="754"/>
      <c r="W230" s="425" t="s">
        <v>140</v>
      </c>
      <c r="Y230" s="754"/>
      <c r="Z230" s="425" t="s">
        <v>140</v>
      </c>
      <c r="AB230" s="754"/>
      <c r="AC230" s="425" t="s">
        <v>140</v>
      </c>
      <c r="AD230" s="58"/>
    </row>
    <row r="231" spans="1:30">
      <c r="A231" s="560"/>
      <c r="B231" s="201">
        <f t="shared" si="18"/>
        <v>193</v>
      </c>
      <c r="C231" s="805"/>
      <c r="D231" s="22"/>
      <c r="E231" s="542"/>
      <c r="F231" s="22"/>
      <c r="G231" s="554"/>
      <c r="H231" s="22"/>
      <c r="I231" s="542"/>
      <c r="J231" s="22"/>
      <c r="K231" s="542"/>
      <c r="M231" s="56" t="b">
        <v>0</v>
      </c>
      <c r="N231" t="s">
        <v>332</v>
      </c>
      <c r="Q231" s="5"/>
      <c r="T231" s="9"/>
      <c r="W231" s="9"/>
      <c r="Z231" s="9"/>
      <c r="AC231" s="9"/>
      <c r="AD231" s="58"/>
    </row>
    <row r="232" spans="1:30">
      <c r="A232" s="560"/>
      <c r="B232" s="201">
        <f t="shared" si="18"/>
        <v>194</v>
      </c>
      <c r="C232" s="805"/>
      <c r="D232" s="22"/>
      <c r="E232" s="542"/>
      <c r="F232" s="22"/>
      <c r="G232" s="554"/>
      <c r="H232" s="22"/>
      <c r="I232" s="542"/>
      <c r="J232" s="22"/>
      <c r="K232" s="542"/>
      <c r="Q232" s="3"/>
      <c r="AD232" s="58"/>
    </row>
    <row r="233" spans="1:30">
      <c r="A233" s="560"/>
      <c r="B233" s="201">
        <f t="shared" si="18"/>
        <v>195</v>
      </c>
      <c r="C233" s="805"/>
      <c r="D233" s="22"/>
      <c r="E233" s="542"/>
      <c r="F233" s="22"/>
      <c r="G233" s="554"/>
      <c r="H233" s="22"/>
      <c r="I233" s="542"/>
      <c r="J233" s="22"/>
      <c r="K233" s="542"/>
      <c r="M233" s="56" t="b">
        <v>0</v>
      </c>
      <c r="N233" t="s">
        <v>333</v>
      </c>
      <c r="Q233" s="8"/>
      <c r="S233" s="40" t="b">
        <v>0</v>
      </c>
      <c r="T233" s="39" t="s">
        <v>334</v>
      </c>
      <c r="V233" s="106" t="b">
        <v>0</v>
      </c>
      <c r="W233" t="s">
        <v>335</v>
      </c>
      <c r="Y233" s="802" t="b">
        <v>0</v>
      </c>
      <c r="Z233" t="s">
        <v>336</v>
      </c>
      <c r="AD233" s="58"/>
    </row>
    <row r="234" spans="1:30">
      <c r="A234" s="560"/>
      <c r="B234" s="201">
        <f t="shared" si="18"/>
        <v>196</v>
      </c>
      <c r="C234" s="805"/>
      <c r="D234" s="22"/>
      <c r="E234" s="542"/>
      <c r="F234" s="22"/>
      <c r="G234" s="554"/>
      <c r="H234" s="22"/>
      <c r="I234" s="542"/>
      <c r="J234" s="22"/>
      <c r="K234" s="542"/>
      <c r="Q234" s="8"/>
      <c r="S234" s="39"/>
      <c r="T234" s="39"/>
      <c r="Y234" s="802"/>
      <c r="AD234" s="58"/>
    </row>
    <row r="235" spans="1:30">
      <c r="A235" s="560"/>
      <c r="B235" s="201">
        <f t="shared" si="18"/>
        <v>197</v>
      </c>
      <c r="C235" s="805"/>
      <c r="D235" s="22"/>
      <c r="E235" s="542"/>
      <c r="F235" s="22"/>
      <c r="G235" s="554"/>
      <c r="H235" s="22"/>
      <c r="I235" s="542"/>
      <c r="J235" s="22"/>
      <c r="K235" s="542"/>
      <c r="N235" s="65" t="s">
        <v>140</v>
      </c>
      <c r="S235" s="803" t="s">
        <v>337</v>
      </c>
      <c r="T235" s="803"/>
      <c r="V235" s="803" t="s">
        <v>338</v>
      </c>
      <c r="W235" s="803"/>
      <c r="Y235" s="802"/>
      <c r="AD235" s="58"/>
    </row>
    <row r="236" spans="1:30">
      <c r="A236" s="560"/>
      <c r="B236" s="201">
        <f t="shared" si="18"/>
        <v>198</v>
      </c>
      <c r="C236" s="805"/>
      <c r="D236" s="22"/>
      <c r="E236" s="542"/>
      <c r="F236" s="22"/>
      <c r="G236" s="554"/>
      <c r="H236" s="22"/>
      <c r="I236" s="542"/>
      <c r="J236" s="22"/>
      <c r="K236" s="542"/>
      <c r="N236" s="672"/>
      <c r="S236" s="56" t="b">
        <v>0</v>
      </c>
      <c r="T236" t="s">
        <v>340</v>
      </c>
      <c r="W236" t="s">
        <v>341</v>
      </c>
      <c r="AD236" s="58"/>
    </row>
    <row r="237" spans="1:30">
      <c r="A237" s="560"/>
      <c r="B237" s="201">
        <f t="shared" si="18"/>
        <v>199</v>
      </c>
      <c r="C237" s="805"/>
      <c r="D237" s="22"/>
      <c r="E237" s="542"/>
      <c r="F237" s="22"/>
      <c r="G237" s="554"/>
      <c r="H237" s="22"/>
      <c r="I237" s="542"/>
      <c r="J237" s="22"/>
      <c r="K237" s="542"/>
      <c r="N237" s="672"/>
      <c r="T237" s="65" t="s">
        <v>142</v>
      </c>
      <c r="W237" s="428" t="s">
        <v>142</v>
      </c>
      <c r="X237" s="65"/>
      <c r="Y237" s="65"/>
      <c r="Z237" s="65"/>
      <c r="AD237" s="58"/>
    </row>
    <row r="238" spans="1:30">
      <c r="A238" s="560"/>
      <c r="B238" s="201">
        <f t="shared" si="18"/>
        <v>200</v>
      </c>
      <c r="C238" s="806"/>
      <c r="D238" s="22"/>
      <c r="E238" s="809"/>
      <c r="F238" s="22"/>
      <c r="G238" s="554"/>
      <c r="H238" s="22"/>
      <c r="I238" s="809"/>
      <c r="J238" s="22"/>
      <c r="K238" s="809"/>
      <c r="N238" s="505"/>
      <c r="T238" s="39"/>
      <c r="W238" s="9"/>
      <c r="X238" s="65"/>
      <c r="Y238" s="65"/>
      <c r="Z238" s="65"/>
      <c r="AD238" s="58"/>
    </row>
    <row r="239" spans="1:30" ht="8.1" customHeight="1" thickBot="1">
      <c r="A239" s="561"/>
      <c r="B239" s="201"/>
      <c r="C239" s="807"/>
      <c r="D239" s="111"/>
      <c r="E239" s="810"/>
      <c r="F239" s="111"/>
      <c r="G239" s="555"/>
      <c r="H239" s="111"/>
      <c r="I239" s="810"/>
      <c r="J239" s="111"/>
      <c r="K239" s="810"/>
      <c r="L239" s="59"/>
      <c r="M239" s="59"/>
      <c r="N239" s="59"/>
      <c r="O239" s="59"/>
      <c r="P239" s="59"/>
      <c r="Q239" s="59"/>
      <c r="R239" s="59"/>
      <c r="S239" s="59"/>
      <c r="T239" s="59"/>
      <c r="U239" s="59"/>
      <c r="V239" s="91"/>
      <c r="W239" s="59"/>
      <c r="X239" s="66"/>
      <c r="Y239" s="66"/>
      <c r="Z239" s="66"/>
      <c r="AA239" s="59"/>
      <c r="AB239" s="59"/>
      <c r="AC239" s="59"/>
      <c r="AD239" s="62"/>
    </row>
    <row r="240" spans="1:30" ht="15" thickBot="1">
      <c r="C240" s="28"/>
      <c r="D240" s="28"/>
      <c r="E240" s="28"/>
      <c r="F240" s="28"/>
      <c r="G240" s="28"/>
      <c r="H240" s="28"/>
      <c r="I240" s="28"/>
      <c r="J240" s="28"/>
      <c r="K240" s="28"/>
      <c r="L240" s="27"/>
      <c r="M240" s="27"/>
      <c r="N240" s="27"/>
      <c r="O240" s="27"/>
      <c r="P240" s="27"/>
      <c r="Q240" s="27"/>
      <c r="R240" s="27"/>
      <c r="S240" s="27"/>
      <c r="T240" s="27"/>
      <c r="U240" s="27"/>
      <c r="V240" s="94"/>
      <c r="W240" s="27"/>
      <c r="X240" s="27"/>
      <c r="Y240" s="27"/>
      <c r="Z240" s="27"/>
      <c r="AA240" s="27"/>
      <c r="AB240" s="27"/>
      <c r="AC240" s="27"/>
      <c r="AD240" s="27"/>
    </row>
    <row r="241" spans="1:30">
      <c r="A241" s="559">
        <f>A229+1</f>
        <v>20</v>
      </c>
      <c r="B241" s="474">
        <f>(A241*10)+1</f>
        <v>201</v>
      </c>
      <c r="C241" s="804"/>
      <c r="D241" s="70"/>
      <c r="E241" s="808"/>
      <c r="F241" s="70"/>
      <c r="G241" s="553"/>
      <c r="H241" s="70"/>
      <c r="I241" s="808"/>
      <c r="J241" s="70"/>
      <c r="K241" s="808"/>
      <c r="L241" s="54"/>
      <c r="M241" s="52" t="b">
        <v>0</v>
      </c>
      <c r="N241" s="54" t="s">
        <v>325</v>
      </c>
      <c r="O241" s="54"/>
      <c r="P241" s="54"/>
      <c r="Q241" s="54" t="s">
        <v>326</v>
      </c>
      <c r="R241" s="54"/>
      <c r="S241" s="753"/>
      <c r="T241" s="54" t="s">
        <v>327</v>
      </c>
      <c r="U241" s="54"/>
      <c r="V241" s="753"/>
      <c r="W241" s="54" t="s">
        <v>328</v>
      </c>
      <c r="X241" s="54"/>
      <c r="Y241" s="753"/>
      <c r="Z241" s="54" t="s">
        <v>329</v>
      </c>
      <c r="AA241" s="54"/>
      <c r="AB241" s="753"/>
      <c r="AC241" s="54" t="s">
        <v>330</v>
      </c>
      <c r="AD241" s="63"/>
    </row>
    <row r="242" spans="1:30">
      <c r="A242" s="560"/>
      <c r="B242" s="201">
        <f t="shared" ref="B242:B250" si="19">B241+1</f>
        <v>202</v>
      </c>
      <c r="C242" s="805"/>
      <c r="D242" s="22"/>
      <c r="E242" s="542"/>
      <c r="F242" s="22"/>
      <c r="G242" s="554"/>
      <c r="H242" s="22"/>
      <c r="I242" s="542"/>
      <c r="J242" s="22"/>
      <c r="K242" s="542"/>
      <c r="M242" s="56" t="b">
        <v>0</v>
      </c>
      <c r="N242" t="s">
        <v>331</v>
      </c>
      <c r="Q242" s="425" t="s">
        <v>140</v>
      </c>
      <c r="S242" s="754"/>
      <c r="T242" s="425" t="s">
        <v>140</v>
      </c>
      <c r="V242" s="754"/>
      <c r="W242" s="425" t="s">
        <v>140</v>
      </c>
      <c r="Y242" s="754"/>
      <c r="Z242" s="425" t="s">
        <v>140</v>
      </c>
      <c r="AB242" s="754"/>
      <c r="AC242" s="425" t="s">
        <v>140</v>
      </c>
      <c r="AD242" s="58"/>
    </row>
    <row r="243" spans="1:30">
      <c r="A243" s="560"/>
      <c r="B243" s="201">
        <f t="shared" si="19"/>
        <v>203</v>
      </c>
      <c r="C243" s="805"/>
      <c r="D243" s="22"/>
      <c r="E243" s="542"/>
      <c r="F243" s="22"/>
      <c r="G243" s="554"/>
      <c r="H243" s="22"/>
      <c r="I243" s="542"/>
      <c r="J243" s="22"/>
      <c r="K243" s="542"/>
      <c r="M243" s="56" t="b">
        <v>0</v>
      </c>
      <c r="N243" t="s">
        <v>332</v>
      </c>
      <c r="Q243" s="5"/>
      <c r="T243" s="9"/>
      <c r="W243" s="9"/>
      <c r="Z243" s="9"/>
      <c r="AC243" s="9"/>
      <c r="AD243" s="58"/>
    </row>
    <row r="244" spans="1:30">
      <c r="A244" s="560"/>
      <c r="B244" s="201">
        <f t="shared" si="19"/>
        <v>204</v>
      </c>
      <c r="C244" s="805"/>
      <c r="D244" s="22"/>
      <c r="E244" s="542"/>
      <c r="F244" s="22"/>
      <c r="G244" s="554"/>
      <c r="H244" s="22"/>
      <c r="I244" s="542"/>
      <c r="J244" s="22"/>
      <c r="K244" s="542"/>
      <c r="Q244" s="3"/>
      <c r="AD244" s="58"/>
    </row>
    <row r="245" spans="1:30">
      <c r="A245" s="560"/>
      <c r="B245" s="201">
        <f t="shared" si="19"/>
        <v>205</v>
      </c>
      <c r="C245" s="805"/>
      <c r="D245" s="22"/>
      <c r="E245" s="542"/>
      <c r="F245" s="22"/>
      <c r="G245" s="554"/>
      <c r="H245" s="22"/>
      <c r="I245" s="542"/>
      <c r="J245" s="22"/>
      <c r="K245" s="542"/>
      <c r="M245" s="56" t="b">
        <v>0</v>
      </c>
      <c r="N245" t="s">
        <v>333</v>
      </c>
      <c r="Q245" s="8"/>
      <c r="S245" s="40" t="b">
        <v>0</v>
      </c>
      <c r="T245" s="39" t="s">
        <v>334</v>
      </c>
      <c r="V245" s="106" t="b">
        <v>0</v>
      </c>
      <c r="W245" t="s">
        <v>335</v>
      </c>
      <c r="Y245" s="802" t="b">
        <v>0</v>
      </c>
      <c r="Z245" t="s">
        <v>336</v>
      </c>
      <c r="AD245" s="58"/>
    </row>
    <row r="246" spans="1:30">
      <c r="A246" s="560"/>
      <c r="B246" s="201">
        <f t="shared" si="19"/>
        <v>206</v>
      </c>
      <c r="C246" s="805"/>
      <c r="D246" s="22"/>
      <c r="E246" s="542"/>
      <c r="F246" s="22"/>
      <c r="G246" s="554"/>
      <c r="H246" s="22"/>
      <c r="I246" s="542"/>
      <c r="J246" s="22"/>
      <c r="K246" s="542"/>
      <c r="Q246" s="8"/>
      <c r="S246" s="39"/>
      <c r="T246" s="39"/>
      <c r="Y246" s="802"/>
      <c r="AD246" s="58"/>
    </row>
    <row r="247" spans="1:30">
      <c r="A247" s="560"/>
      <c r="B247" s="201">
        <f t="shared" si="19"/>
        <v>207</v>
      </c>
      <c r="C247" s="805"/>
      <c r="D247" s="22"/>
      <c r="E247" s="542"/>
      <c r="F247" s="22"/>
      <c r="G247" s="554"/>
      <c r="H247" s="22"/>
      <c r="I247" s="542"/>
      <c r="J247" s="22"/>
      <c r="K247" s="542"/>
      <c r="N247" s="65" t="s">
        <v>140</v>
      </c>
      <c r="S247" s="803" t="s">
        <v>337</v>
      </c>
      <c r="T247" s="803"/>
      <c r="V247" s="803" t="s">
        <v>338</v>
      </c>
      <c r="W247" s="803"/>
      <c r="Y247" s="802"/>
      <c r="AD247" s="58"/>
    </row>
    <row r="248" spans="1:30">
      <c r="A248" s="560"/>
      <c r="B248" s="201">
        <f t="shared" si="19"/>
        <v>208</v>
      </c>
      <c r="C248" s="805"/>
      <c r="D248" s="22"/>
      <c r="E248" s="542"/>
      <c r="F248" s="22"/>
      <c r="G248" s="554"/>
      <c r="H248" s="22"/>
      <c r="I248" s="542"/>
      <c r="J248" s="22"/>
      <c r="K248" s="542"/>
      <c r="N248" s="672"/>
      <c r="S248" s="56" t="b">
        <v>0</v>
      </c>
      <c r="T248" t="s">
        <v>340</v>
      </c>
      <c r="W248" t="s">
        <v>341</v>
      </c>
      <c r="AD248" s="58"/>
    </row>
    <row r="249" spans="1:30">
      <c r="A249" s="560"/>
      <c r="B249" s="201">
        <f t="shared" si="19"/>
        <v>209</v>
      </c>
      <c r="C249" s="805"/>
      <c r="D249" s="22"/>
      <c r="E249" s="542"/>
      <c r="F249" s="22"/>
      <c r="G249" s="554"/>
      <c r="H249" s="22"/>
      <c r="I249" s="542"/>
      <c r="J249" s="22"/>
      <c r="K249" s="542"/>
      <c r="N249" s="672"/>
      <c r="T249" s="65" t="s">
        <v>142</v>
      </c>
      <c r="W249" s="428" t="s">
        <v>142</v>
      </c>
      <c r="X249" s="65"/>
      <c r="Y249" s="65"/>
      <c r="Z249" s="65"/>
      <c r="AD249" s="58"/>
    </row>
    <row r="250" spans="1:30">
      <c r="A250" s="560"/>
      <c r="B250" s="201">
        <f t="shared" si="19"/>
        <v>210</v>
      </c>
      <c r="C250" s="806"/>
      <c r="D250" s="22"/>
      <c r="E250" s="809"/>
      <c r="F250" s="22"/>
      <c r="G250" s="554"/>
      <c r="H250" s="22"/>
      <c r="I250" s="809"/>
      <c r="J250" s="22"/>
      <c r="K250" s="809"/>
      <c r="N250" s="505"/>
      <c r="T250" s="39"/>
      <c r="W250" s="9"/>
      <c r="X250" s="65"/>
      <c r="Y250" s="65"/>
      <c r="Z250" s="65"/>
      <c r="AD250" s="58"/>
    </row>
    <row r="251" spans="1:30" ht="8.1" customHeight="1" thickBot="1">
      <c r="A251" s="561"/>
      <c r="B251" s="201"/>
      <c r="C251" s="807"/>
      <c r="D251" s="111"/>
      <c r="E251" s="810"/>
      <c r="F251" s="111"/>
      <c r="G251" s="555"/>
      <c r="H251" s="111"/>
      <c r="I251" s="810"/>
      <c r="J251" s="111"/>
      <c r="K251" s="810"/>
      <c r="L251" s="59"/>
      <c r="M251" s="59"/>
      <c r="N251" s="59"/>
      <c r="O251" s="59"/>
      <c r="P251" s="59"/>
      <c r="Q251" s="59"/>
      <c r="R251" s="59"/>
      <c r="S251" s="59"/>
      <c r="T251" s="59"/>
      <c r="U251" s="59"/>
      <c r="V251" s="91"/>
      <c r="W251" s="59"/>
      <c r="X251" s="66"/>
      <c r="Y251" s="66"/>
      <c r="Z251" s="66"/>
      <c r="AA251" s="59"/>
      <c r="AB251" s="59"/>
      <c r="AC251" s="59"/>
      <c r="AD251" s="62"/>
    </row>
    <row r="252" spans="1:30">
      <c r="C252" s="28"/>
      <c r="D252" s="28"/>
      <c r="E252" s="28"/>
      <c r="F252" s="28"/>
      <c r="G252" s="28"/>
      <c r="H252" s="28"/>
      <c r="I252" s="28"/>
      <c r="J252" s="28"/>
      <c r="K252" s="28"/>
      <c r="L252" s="27"/>
      <c r="M252" s="27"/>
      <c r="N252" s="27"/>
      <c r="O252" s="27"/>
      <c r="P252" s="27"/>
      <c r="Q252" s="27"/>
      <c r="R252" s="27"/>
      <c r="S252" s="27"/>
      <c r="T252" s="27"/>
      <c r="U252" s="27"/>
      <c r="V252" s="94"/>
      <c r="W252" s="27"/>
      <c r="X252" s="27"/>
      <c r="Y252" s="27"/>
      <c r="Z252" s="27"/>
      <c r="AA252" s="27"/>
      <c r="AB252" s="27"/>
      <c r="AC252" s="27"/>
      <c r="AD252" s="27"/>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3">
      <formula>S80=TRUE</formula>
    </cfRule>
    <cfRule type="expression" dxfId="644" priority="279">
      <formula>#REF!=TRUE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2">
      <formula>S92=TRUE</formula>
    </cfRule>
    <cfRule type="expression" dxfId="640" priority="268">
      <formula>#REF!=TRUE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07">
      <formula>S152=TRUE</formula>
    </cfRule>
    <cfRule type="expression" dxfId="620" priority="213">
      <formula>#REF!=TRUE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196">
      <formula>S164=TRUE</formula>
    </cfRule>
    <cfRule type="expression" dxfId="616" priority="202">
      <formula>#REF!=TRUE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74">
      <formula>S188=TRUE</formula>
    </cfRule>
    <cfRule type="expression" dxfId="608" priority="180">
      <formula>#REF!=TRUE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3">
      <formula>S200=TRUE</formula>
    </cfRule>
    <cfRule type="expression" dxfId="604" priority="169">
      <formula>#REF!=TRUE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2">
      <formula>S212=TRUE</formula>
    </cfRule>
    <cfRule type="expression" dxfId="600" priority="158">
      <formula>#REF!=TRUE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1">
      <formula>S224=TRUE</formula>
    </cfRule>
    <cfRule type="expression" dxfId="596" priority="147">
      <formula>#REF!=TRUE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19">
      <formula>S248=TRUE</formula>
    </cfRule>
    <cfRule type="expression" dxfId="588" priority="125">
      <formula>#REF!=TRUE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bottomRight" activeCell="C12" sqref="C12:C14"/>
      <selection pane="bottomLeft" activeCell="A11" sqref="A11"/>
      <selection pane="topRight" activeCell="C1" sqref="C1"/>
    </sheetView>
  </sheetViews>
  <sheetFormatPr defaultRowHeight="14.45" outlineLevelRow="1"/>
  <cols>
    <col min="1" max="1" width="9.85546875" style="83" customWidth="1"/>
    <col min="2" max="2" width="7" style="205"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 thickBot="1">
      <c r="C1" s="37" t="s">
        <v>342</v>
      </c>
      <c r="D1" s="37"/>
      <c r="E1" s="37"/>
      <c r="T1" s="101">
        <f>COUNTIF(R12:R109,INputs!AX3)</f>
        <v>0</v>
      </c>
    </row>
    <row r="2" spans="1:31" ht="18.95" thickBot="1">
      <c r="C2" s="88" t="s">
        <v>343</v>
      </c>
      <c r="D2" s="11"/>
      <c r="E2" s="88" t="s">
        <v>344</v>
      </c>
      <c r="F2" s="11"/>
      <c r="G2" s="88" t="s">
        <v>345</v>
      </c>
      <c r="H2" s="11"/>
      <c r="I2" s="88" t="s">
        <v>346</v>
      </c>
      <c r="J2" s="11"/>
      <c r="K2" s="88" t="s">
        <v>293</v>
      </c>
      <c r="L2" s="11"/>
      <c r="M2" s="624" t="s">
        <v>347</v>
      </c>
      <c r="N2" s="625"/>
      <c r="O2" s="11"/>
      <c r="P2" s="89" t="s">
        <v>121</v>
      </c>
      <c r="Q2" s="11"/>
      <c r="R2" s="88" t="s">
        <v>348</v>
      </c>
      <c r="S2" s="11"/>
      <c r="T2" s="90" t="s">
        <v>349</v>
      </c>
      <c r="U2" s="11"/>
      <c r="V2" s="90" t="s">
        <v>350</v>
      </c>
      <c r="W2" s="132"/>
      <c r="X2" s="90" t="s">
        <v>351</v>
      </c>
      <c r="Y2" s="132"/>
      <c r="Z2" s="90" t="s">
        <v>352</v>
      </c>
      <c r="AA2" s="11"/>
      <c r="AB2" s="676" t="s">
        <v>353</v>
      </c>
      <c r="AC2" s="816"/>
      <c r="AD2" s="816"/>
      <c r="AE2" s="677"/>
    </row>
    <row r="3" spans="1:31" s="3" customFormat="1" ht="342" hidden="1" customHeight="1" outlineLevel="1">
      <c r="A3" s="317" t="s">
        <v>125</v>
      </c>
      <c r="B3" s="206"/>
      <c r="C3" s="506" t="s">
        <v>354</v>
      </c>
      <c r="D3" s="147"/>
      <c r="E3" s="494" t="s">
        <v>355</v>
      </c>
      <c r="F3" s="136"/>
      <c r="G3" s="504"/>
      <c r="H3" s="136"/>
      <c r="I3" s="494" t="s">
        <v>356</v>
      </c>
      <c r="J3" s="136"/>
      <c r="K3" s="494" t="s">
        <v>357</v>
      </c>
      <c r="L3" s="136"/>
      <c r="M3" s="631" t="s">
        <v>358</v>
      </c>
      <c r="N3" s="631"/>
      <c r="O3" s="136"/>
      <c r="P3" s="494" t="s">
        <v>359</v>
      </c>
      <c r="Q3" s="136"/>
      <c r="R3" s="504" t="s">
        <v>360</v>
      </c>
      <c r="S3" s="136"/>
      <c r="T3" s="486" t="s">
        <v>361</v>
      </c>
      <c r="U3" s="145"/>
      <c r="V3" s="485" t="s">
        <v>362</v>
      </c>
      <c r="W3" s="136"/>
      <c r="X3" s="494" t="s">
        <v>363</v>
      </c>
      <c r="Y3" s="136"/>
      <c r="Z3" s="486" t="s">
        <v>364</v>
      </c>
      <c r="AA3" s="145"/>
      <c r="AB3" s="630" t="s">
        <v>365</v>
      </c>
      <c r="AC3" s="631"/>
      <c r="AD3" s="631"/>
      <c r="AE3" s="632"/>
    </row>
    <row r="4" spans="1:31" s="3" customFormat="1" ht="43.5" hidden="1" customHeight="1" outlineLevel="1">
      <c r="A4" s="689" t="s">
        <v>133</v>
      </c>
      <c r="B4" s="207"/>
      <c r="C4" s="483" t="s">
        <v>191</v>
      </c>
      <c r="D4" s="517"/>
      <c r="E4" s="483" t="s">
        <v>366</v>
      </c>
      <c r="F4" s="517"/>
      <c r="G4" s="484"/>
      <c r="H4" s="517"/>
      <c r="I4" s="483" t="s">
        <v>367</v>
      </c>
      <c r="J4" s="517"/>
      <c r="K4" s="483" t="s">
        <v>313</v>
      </c>
      <c r="L4" s="517"/>
      <c r="M4" s="602" t="s">
        <v>314</v>
      </c>
      <c r="N4" s="602"/>
      <c r="O4" s="517"/>
      <c r="P4" s="484"/>
      <c r="Q4" s="517"/>
      <c r="R4" s="484"/>
      <c r="S4" s="517"/>
      <c r="T4" s="484"/>
      <c r="U4" s="517"/>
      <c r="V4" s="484"/>
      <c r="W4" s="517"/>
      <c r="X4" s="484"/>
      <c r="Y4" s="517"/>
      <c r="Z4" s="484"/>
      <c r="AA4" s="517"/>
      <c r="AB4" s="602" t="s">
        <v>138</v>
      </c>
      <c r="AC4" s="602"/>
      <c r="AD4" s="602"/>
      <c r="AE4" s="602"/>
    </row>
    <row r="5" spans="1:31" s="3" customFormat="1" ht="14.45" hidden="1" customHeight="1" outlineLevel="1">
      <c r="A5" s="689"/>
      <c r="B5" s="207"/>
      <c r="C5" s="484"/>
      <c r="D5" s="517"/>
      <c r="E5" s="484"/>
      <c r="F5" s="517"/>
      <c r="G5" s="484"/>
      <c r="H5" s="517"/>
      <c r="I5" s="484"/>
      <c r="J5" s="517"/>
      <c r="K5" s="484"/>
      <c r="L5" s="517"/>
      <c r="M5" s="602" t="s">
        <v>368</v>
      </c>
      <c r="N5" s="602"/>
      <c r="O5" s="517"/>
      <c r="P5" s="484"/>
      <c r="Q5" s="517"/>
      <c r="R5" s="484"/>
      <c r="S5" s="517"/>
      <c r="T5" s="484"/>
      <c r="U5" s="517"/>
      <c r="V5" s="484"/>
      <c r="W5" s="517"/>
      <c r="X5" s="484"/>
      <c r="Y5" s="517"/>
      <c r="Z5" s="484"/>
      <c r="AA5" s="517"/>
      <c r="AB5" s="602" t="s">
        <v>369</v>
      </c>
      <c r="AC5" s="602"/>
      <c r="AD5" s="602"/>
      <c r="AE5" s="602"/>
    </row>
    <row r="6" spans="1:31" s="3" customFormat="1" ht="14.45" hidden="1" customHeight="1" outlineLevel="1">
      <c r="A6" s="689"/>
      <c r="B6" s="207"/>
      <c r="C6" s="484"/>
      <c r="D6" s="517"/>
      <c r="E6" s="484"/>
      <c r="F6" s="517"/>
      <c r="G6" s="484"/>
      <c r="H6" s="517"/>
      <c r="I6" s="484"/>
      <c r="J6" s="517"/>
      <c r="K6" s="484"/>
      <c r="L6" s="517"/>
      <c r="M6" s="612"/>
      <c r="N6" s="612"/>
      <c r="O6" s="517"/>
      <c r="P6" s="484"/>
      <c r="Q6" s="517"/>
      <c r="R6" s="484"/>
      <c r="S6" s="517"/>
      <c r="T6" s="484"/>
      <c r="U6" s="517"/>
      <c r="V6" s="484"/>
      <c r="W6" s="517"/>
      <c r="X6" s="484"/>
      <c r="Y6" s="517"/>
      <c r="Z6" s="484"/>
      <c r="AA6" s="517"/>
      <c r="AB6" s="612"/>
      <c r="AC6" s="612"/>
      <c r="AD6" s="612"/>
      <c r="AE6" s="612"/>
    </row>
    <row r="7" spans="1:31" s="3" customFormat="1" ht="14.45" hidden="1" customHeight="1" outlineLevel="1">
      <c r="A7" s="689"/>
      <c r="B7" s="207"/>
      <c r="C7" s="484"/>
      <c r="D7" s="517"/>
      <c r="E7" s="484"/>
      <c r="F7" s="517"/>
      <c r="G7" s="484"/>
      <c r="H7" s="517"/>
      <c r="I7" s="484"/>
      <c r="J7" s="517"/>
      <c r="K7" s="484"/>
      <c r="L7" s="517"/>
      <c r="M7" s="612"/>
      <c r="N7" s="612"/>
      <c r="O7" s="517"/>
      <c r="P7" s="484"/>
      <c r="Q7" s="517"/>
      <c r="R7" s="484"/>
      <c r="S7" s="517"/>
      <c r="T7" s="484"/>
      <c r="U7" s="517"/>
      <c r="V7" s="484"/>
      <c r="W7" s="517"/>
      <c r="X7" s="484"/>
      <c r="Y7" s="517"/>
      <c r="Z7" s="484"/>
      <c r="AA7" s="517"/>
      <c r="AB7" s="612"/>
      <c r="AC7" s="612"/>
      <c r="AD7" s="612"/>
      <c r="AE7" s="612"/>
    </row>
    <row r="8" spans="1:31" s="3" customFormat="1" ht="14.45" hidden="1" customHeight="1" outlineLevel="1">
      <c r="A8" s="689"/>
      <c r="B8" s="206"/>
      <c r="C8" s="141"/>
      <c r="D8" s="517"/>
      <c r="E8" s="484"/>
      <c r="F8" s="517"/>
      <c r="G8" s="484"/>
      <c r="H8" s="517"/>
      <c r="I8" s="484"/>
      <c r="J8" s="517"/>
      <c r="K8" s="484"/>
      <c r="L8" s="517"/>
      <c r="M8" s="612"/>
      <c r="N8" s="612"/>
      <c r="O8" s="517"/>
      <c r="P8" s="484"/>
      <c r="Q8" s="517"/>
      <c r="R8" s="484"/>
      <c r="S8" s="517"/>
      <c r="T8" s="484"/>
      <c r="U8" s="517"/>
      <c r="V8" s="484"/>
      <c r="W8" s="517"/>
      <c r="X8" s="484"/>
      <c r="Y8" s="517"/>
      <c r="Z8" s="484"/>
      <c r="AA8" s="517"/>
      <c r="AB8" s="612"/>
      <c r="AC8" s="612"/>
      <c r="AD8" s="612"/>
      <c r="AE8" s="612"/>
    </row>
    <row r="9" spans="1:31" collapsed="1">
      <c r="C9" s="7" t="s">
        <v>140</v>
      </c>
      <c r="D9" s="7"/>
      <c r="E9" s="502" t="s">
        <v>142</v>
      </c>
      <c r="F9" s="7"/>
      <c r="G9" s="7" t="s">
        <v>140</v>
      </c>
      <c r="H9" s="7"/>
      <c r="I9" s="502" t="s">
        <v>142</v>
      </c>
      <c r="J9" s="7"/>
      <c r="K9" s="7" t="s">
        <v>140</v>
      </c>
      <c r="L9" s="7"/>
      <c r="M9" s="657" t="s">
        <v>141</v>
      </c>
      <c r="N9" s="657"/>
      <c r="O9" s="7"/>
      <c r="P9" s="7" t="s">
        <v>140</v>
      </c>
      <c r="Q9" s="7"/>
      <c r="R9" s="502" t="s">
        <v>142</v>
      </c>
      <c r="S9" s="7"/>
      <c r="T9" s="21" t="s">
        <v>140</v>
      </c>
      <c r="U9" s="7"/>
      <c r="V9" s="21" t="s">
        <v>140</v>
      </c>
      <c r="W9" s="7"/>
      <c r="X9" s="21" t="s">
        <v>140</v>
      </c>
      <c r="Y9" s="7"/>
      <c r="Z9" s="21" t="s">
        <v>140</v>
      </c>
      <c r="AA9" s="7"/>
      <c r="AB9" s="7"/>
      <c r="AC9" s="482" t="s">
        <v>141</v>
      </c>
      <c r="AD9" s="482"/>
    </row>
    <row r="10" spans="1:31" ht="3.95" customHeight="1" thickBot="1">
      <c r="A10" s="79"/>
      <c r="C10" s="98"/>
      <c r="D10" s="97"/>
      <c r="E10" s="97"/>
      <c r="F10" s="97"/>
      <c r="G10" s="97"/>
      <c r="H10" s="97"/>
      <c r="I10" s="97"/>
      <c r="J10" s="97"/>
      <c r="K10" s="97"/>
      <c r="L10" s="97"/>
      <c r="M10" s="97"/>
      <c r="N10" s="97"/>
      <c r="O10" s="97"/>
      <c r="P10" s="97"/>
      <c r="Q10" s="97"/>
      <c r="R10" s="230"/>
      <c r="S10" s="97"/>
      <c r="T10" s="97"/>
      <c r="U10" s="97"/>
      <c r="V10" s="97"/>
      <c r="W10" s="97"/>
      <c r="X10" s="97"/>
      <c r="Y10" s="97"/>
      <c r="Z10" s="97"/>
      <c r="AA10" s="97"/>
      <c r="AB10" s="97"/>
      <c r="AC10" s="97"/>
      <c r="AD10" s="97"/>
      <c r="AE10" s="99"/>
    </row>
    <row r="11" spans="1:31" ht="4.5" customHeight="1">
      <c r="A11" s="556">
        <v>1</v>
      </c>
      <c r="B11" s="208">
        <f>A12+10</f>
        <v>10</v>
      </c>
      <c r="C11" s="508"/>
      <c r="D11" s="54"/>
      <c r="E11" s="54"/>
      <c r="F11" s="54"/>
      <c r="G11" s="54"/>
      <c r="H11" s="54"/>
      <c r="I11" s="54"/>
      <c r="J11" s="54"/>
      <c r="K11" s="508"/>
      <c r="L11" s="54"/>
      <c r="M11" s="54"/>
      <c r="N11" s="54"/>
      <c r="O11" s="54"/>
      <c r="P11" s="54"/>
      <c r="Q11" s="54"/>
      <c r="R11" s="203"/>
      <c r="S11" s="54"/>
      <c r="T11" s="54"/>
      <c r="U11" s="54"/>
      <c r="V11" s="54"/>
      <c r="W11" s="54"/>
      <c r="X11" s="54"/>
      <c r="Y11" s="54"/>
      <c r="Z11" s="54"/>
      <c r="AA11" s="54"/>
      <c r="AB11" s="54"/>
      <c r="AC11" s="54"/>
      <c r="AD11" s="508"/>
      <c r="AE11" s="63"/>
    </row>
    <row r="12" spans="1:31" ht="29.1">
      <c r="A12" s="557"/>
      <c r="B12" s="474">
        <f>B11+1</f>
        <v>11</v>
      </c>
      <c r="C12" s="809"/>
      <c r="D12" s="3"/>
      <c r="E12" s="9"/>
      <c r="F12" s="3"/>
      <c r="G12" s="809"/>
      <c r="H12" s="3"/>
      <c r="I12" s="814"/>
      <c r="J12" s="3"/>
      <c r="K12" s="809"/>
      <c r="L12" s="3"/>
      <c r="M12" s="56" t="b">
        <v>0</v>
      </c>
      <c r="N12" t="s">
        <v>370</v>
      </c>
      <c r="O12" s="3"/>
      <c r="P12" s="3" t="s">
        <v>371</v>
      </c>
      <c r="Q12" s="3"/>
      <c r="R12" s="194"/>
      <c r="S12" s="3"/>
      <c r="T12" s="401"/>
      <c r="U12" s="517"/>
      <c r="V12" s="393"/>
      <c r="W12" s="517"/>
      <c r="X12" s="526"/>
      <c r="Y12" s="517"/>
      <c r="Z12" s="392"/>
      <c r="AA12" s="3"/>
      <c r="AB12" s="40" t="b">
        <v>0</v>
      </c>
      <c r="AC12" s="8" t="s">
        <v>372</v>
      </c>
      <c r="AD12" s="118" t="s">
        <v>140</v>
      </c>
      <c r="AE12" s="58"/>
    </row>
    <row r="13" spans="1:31" ht="29.1">
      <c r="A13" s="557"/>
      <c r="B13" s="209">
        <f>B12+1</f>
        <v>12</v>
      </c>
      <c r="C13" s="548"/>
      <c r="G13" s="548"/>
      <c r="I13" s="815"/>
      <c r="K13" s="548"/>
      <c r="M13" s="238" t="b">
        <v>0</v>
      </c>
      <c r="N13" s="22" t="s">
        <v>373</v>
      </c>
      <c r="P13" s="22" t="s">
        <v>374</v>
      </c>
      <c r="T13" s="110"/>
      <c r="U13" s="509"/>
      <c r="V13" s="24"/>
      <c r="W13" s="509"/>
      <c r="X13" s="517"/>
      <c r="Y13" s="509"/>
      <c r="Z13" s="517"/>
      <c r="AB13" s="40" t="b">
        <v>0</v>
      </c>
      <c r="AC13" s="8" t="s">
        <v>375</v>
      </c>
      <c r="AD13" s="526"/>
      <c r="AE13" s="93"/>
    </row>
    <row r="14" spans="1:31" ht="15" thickBot="1">
      <c r="A14" s="558"/>
      <c r="B14" s="209">
        <f>B13+1</f>
        <v>13</v>
      </c>
      <c r="C14" s="549"/>
      <c r="D14" s="59"/>
      <c r="E14" s="59"/>
      <c r="F14" s="59"/>
      <c r="G14" s="549"/>
      <c r="H14" s="59"/>
      <c r="I14" s="59"/>
      <c r="J14" s="59"/>
      <c r="K14" s="549"/>
      <c r="L14" s="59"/>
      <c r="M14" s="61" t="b">
        <v>0</v>
      </c>
      <c r="N14" s="59" t="s">
        <v>376</v>
      </c>
      <c r="O14" s="59"/>
      <c r="P14" s="59" t="s">
        <v>377</v>
      </c>
      <c r="Q14" s="59"/>
      <c r="R14" s="212"/>
      <c r="S14" s="59"/>
      <c r="T14" s="115"/>
      <c r="U14" s="510"/>
      <c r="V14" s="116"/>
      <c r="W14" s="510"/>
      <c r="X14" s="117"/>
      <c r="Y14" s="510"/>
      <c r="Z14" s="117"/>
      <c r="AA14" s="59"/>
      <c r="AB14" s="59"/>
      <c r="AC14" s="59"/>
      <c r="AD14" s="510"/>
      <c r="AE14" s="62"/>
    </row>
    <row r="15" spans="1:31" ht="5.0999999999999996" customHeight="1" thickBot="1">
      <c r="A15" s="100"/>
      <c r="B15" s="100"/>
      <c r="C15" s="112"/>
      <c r="D15" s="100"/>
      <c r="E15" s="100"/>
      <c r="F15" s="100"/>
      <c r="G15" s="112"/>
      <c r="H15" s="100"/>
      <c r="I15" s="100"/>
      <c r="J15" s="100"/>
      <c r="K15" s="112"/>
      <c r="L15" s="100"/>
      <c r="M15" s="100"/>
      <c r="N15" s="100"/>
      <c r="O15" s="100"/>
      <c r="P15" s="100"/>
      <c r="Q15" s="100"/>
      <c r="R15" s="231"/>
      <c r="S15" s="100"/>
      <c r="T15" s="112"/>
      <c r="U15" s="112"/>
      <c r="V15" s="112"/>
      <c r="W15" s="112"/>
      <c r="X15" s="112"/>
      <c r="Y15" s="112"/>
      <c r="Z15" s="112"/>
      <c r="AA15" s="100"/>
      <c r="AB15" s="100"/>
      <c r="AC15" s="100"/>
      <c r="AD15" s="112"/>
      <c r="AE15" s="100"/>
    </row>
    <row r="16" spans="1:31" ht="4.5" customHeight="1">
      <c r="A16" s="556">
        <f>A11+1</f>
        <v>2</v>
      </c>
      <c r="B16" s="208">
        <f>B11+10</f>
        <v>20</v>
      </c>
      <c r="C16" s="508"/>
      <c r="D16" s="54"/>
      <c r="E16" s="54"/>
      <c r="F16" s="54"/>
      <c r="G16" s="508"/>
      <c r="H16" s="54"/>
      <c r="I16" s="54"/>
      <c r="J16" s="54"/>
      <c r="K16" s="508"/>
      <c r="L16" s="54"/>
      <c r="M16" s="54"/>
      <c r="N16" s="54"/>
      <c r="O16" s="54"/>
      <c r="P16" s="54"/>
      <c r="Q16" s="54"/>
      <c r="R16" s="203"/>
      <c r="S16" s="54"/>
      <c r="T16" s="508"/>
      <c r="U16" s="508"/>
      <c r="V16" s="234"/>
      <c r="W16" s="234"/>
      <c r="X16" s="234"/>
      <c r="Y16" s="234"/>
      <c r="Z16" s="234"/>
      <c r="AA16" s="54"/>
      <c r="AB16" s="54"/>
      <c r="AC16" s="54"/>
      <c r="AD16" s="508"/>
      <c r="AE16" s="63"/>
    </row>
    <row r="17" spans="1:31" ht="29.1">
      <c r="A17" s="557"/>
      <c r="B17" s="209">
        <f>B12+10</f>
        <v>21</v>
      </c>
      <c r="C17" s="809"/>
      <c r="D17" s="3"/>
      <c r="E17" s="9"/>
      <c r="F17" s="3"/>
      <c r="G17" s="809"/>
      <c r="H17" s="3"/>
      <c r="I17" s="814"/>
      <c r="J17" s="3"/>
      <c r="K17" s="809"/>
      <c r="L17" s="3"/>
      <c r="M17" s="56" t="b">
        <v>0</v>
      </c>
      <c r="N17" t="s">
        <v>370</v>
      </c>
      <c r="O17" s="3"/>
      <c r="P17" s="3" t="s">
        <v>371</v>
      </c>
      <c r="Q17" s="3"/>
      <c r="R17" s="194"/>
      <c r="S17" s="3"/>
      <c r="T17" s="401" t="s">
        <v>378</v>
      </c>
      <c r="U17" s="517"/>
      <c r="V17" s="118"/>
      <c r="W17" s="526"/>
      <c r="X17" s="526"/>
      <c r="Y17" s="526"/>
      <c r="Z17" s="526"/>
      <c r="AA17" s="3"/>
      <c r="AB17" s="40" t="b">
        <v>0</v>
      </c>
      <c r="AC17" s="8" t="s">
        <v>372</v>
      </c>
      <c r="AD17" s="118" t="s">
        <v>140</v>
      </c>
      <c r="AE17" s="58"/>
    </row>
    <row r="18" spans="1:31" ht="29.1">
      <c r="A18" s="557"/>
      <c r="B18" s="209">
        <f>B17+1</f>
        <v>22</v>
      </c>
      <c r="C18" s="548"/>
      <c r="G18" s="548"/>
      <c r="I18" s="815"/>
      <c r="K18" s="548"/>
      <c r="M18" s="238" t="b">
        <v>0</v>
      </c>
      <c r="N18" s="22" t="s">
        <v>373</v>
      </c>
      <c r="O18" s="22"/>
      <c r="P18" s="22" t="s">
        <v>374</v>
      </c>
      <c r="T18" s="401"/>
      <c r="U18" s="509"/>
      <c r="V18" s="118"/>
      <c r="W18" s="394"/>
      <c r="X18" s="526"/>
      <c r="Y18" s="394"/>
      <c r="Z18" s="526"/>
      <c r="AB18" s="40" t="b">
        <v>0</v>
      </c>
      <c r="AC18" s="8" t="s">
        <v>375</v>
      </c>
      <c r="AD18" s="526"/>
      <c r="AE18" s="93"/>
    </row>
    <row r="19" spans="1:31" ht="15" thickBot="1">
      <c r="A19" s="558"/>
      <c r="B19" s="209">
        <f>B18+1</f>
        <v>23</v>
      </c>
      <c r="C19" s="549"/>
      <c r="D19" s="59"/>
      <c r="E19" s="59"/>
      <c r="F19" s="59"/>
      <c r="G19" s="549"/>
      <c r="H19" s="59"/>
      <c r="I19" s="59"/>
      <c r="J19" s="59"/>
      <c r="K19" s="549"/>
      <c r="L19" s="59"/>
      <c r="M19" s="61" t="b">
        <v>0</v>
      </c>
      <c r="N19" s="59" t="s">
        <v>376</v>
      </c>
      <c r="O19" s="59"/>
      <c r="P19" s="59" t="s">
        <v>377</v>
      </c>
      <c r="Q19" s="59"/>
      <c r="R19" s="212"/>
      <c r="S19" s="59"/>
      <c r="T19" s="402"/>
      <c r="U19" s="510"/>
      <c r="V19" s="395"/>
      <c r="W19" s="396"/>
      <c r="X19" s="397"/>
      <c r="Y19" s="396"/>
      <c r="Z19" s="397"/>
      <c r="AA19" s="59"/>
      <c r="AB19" s="59"/>
      <c r="AC19" s="59"/>
      <c r="AD19" s="510"/>
      <c r="AE19" s="62"/>
    </row>
    <row r="20" spans="1:31" ht="5.0999999999999996" customHeight="1" thickBot="1">
      <c r="A20" s="100"/>
      <c r="B20" s="100"/>
      <c r="C20" s="112"/>
      <c r="D20" s="100"/>
      <c r="E20" s="100"/>
      <c r="F20" s="100"/>
      <c r="G20" s="112"/>
      <c r="H20" s="100"/>
      <c r="I20" s="100"/>
      <c r="J20" s="100"/>
      <c r="K20" s="112"/>
      <c r="L20" s="100"/>
      <c r="M20" s="100"/>
      <c r="N20" s="100"/>
      <c r="O20" s="100"/>
      <c r="P20" s="100"/>
      <c r="Q20" s="100"/>
      <c r="R20" s="231"/>
      <c r="S20" s="100"/>
      <c r="T20" s="398"/>
      <c r="U20" s="112"/>
      <c r="V20" s="398"/>
      <c r="W20" s="398"/>
      <c r="X20" s="398"/>
      <c r="Y20" s="398"/>
      <c r="Z20" s="398"/>
      <c r="AA20" s="100"/>
      <c r="AB20" s="100"/>
      <c r="AC20" s="100"/>
      <c r="AD20" s="112"/>
      <c r="AE20" s="100"/>
    </row>
    <row r="21" spans="1:31" ht="3.95" customHeight="1">
      <c r="A21" s="556">
        <f>A16+1</f>
        <v>3</v>
      </c>
      <c r="B21" s="208">
        <f>B16+10</f>
        <v>30</v>
      </c>
      <c r="C21" s="508"/>
      <c r="D21" s="54"/>
      <c r="E21" s="54"/>
      <c r="F21" s="54"/>
      <c r="G21" s="508"/>
      <c r="H21" s="54"/>
      <c r="I21" s="54"/>
      <c r="J21" s="54"/>
      <c r="K21" s="508"/>
      <c r="L21" s="54"/>
      <c r="M21" s="54"/>
      <c r="N21" s="54"/>
      <c r="O21" s="54"/>
      <c r="P21" s="54"/>
      <c r="Q21" s="54"/>
      <c r="R21" s="203"/>
      <c r="S21" s="54"/>
      <c r="T21" s="399"/>
      <c r="U21" s="508"/>
      <c r="V21" s="399"/>
      <c r="W21" s="399"/>
      <c r="X21" s="399"/>
      <c r="Y21" s="399"/>
      <c r="Z21" s="399"/>
      <c r="AA21" s="54"/>
      <c r="AB21" s="54"/>
      <c r="AC21" s="54"/>
      <c r="AD21" s="508"/>
      <c r="AE21" s="63"/>
    </row>
    <row r="22" spans="1:31" ht="29.1">
      <c r="A22" s="557"/>
      <c r="B22" s="209">
        <f>B17+10</f>
        <v>31</v>
      </c>
      <c r="C22" s="809"/>
      <c r="D22" s="3"/>
      <c r="E22" s="9"/>
      <c r="F22" s="3"/>
      <c r="G22" s="809"/>
      <c r="H22" s="3"/>
      <c r="I22" s="814"/>
      <c r="J22" s="3"/>
      <c r="K22" s="809"/>
      <c r="L22" s="3"/>
      <c r="M22" s="56" t="b">
        <v>0</v>
      </c>
      <c r="N22" t="s">
        <v>370</v>
      </c>
      <c r="O22" s="3"/>
      <c r="P22" s="3" t="s">
        <v>371</v>
      </c>
      <c r="Q22" s="3"/>
      <c r="R22" s="194"/>
      <c r="S22" s="3"/>
      <c r="T22" s="401"/>
      <c r="U22" s="517"/>
      <c r="V22" s="118"/>
      <c r="W22" s="526"/>
      <c r="X22" s="526"/>
      <c r="Y22" s="526"/>
      <c r="Z22" s="526"/>
      <c r="AA22" s="3"/>
      <c r="AB22" s="40" t="b">
        <v>0</v>
      </c>
      <c r="AC22" s="8" t="s">
        <v>372</v>
      </c>
      <c r="AD22" s="118" t="s">
        <v>140</v>
      </c>
      <c r="AE22" s="58"/>
    </row>
    <row r="23" spans="1:31" ht="29.1">
      <c r="A23" s="557"/>
      <c r="B23" s="209">
        <f>B22+1</f>
        <v>32</v>
      </c>
      <c r="C23" s="548"/>
      <c r="G23" s="548"/>
      <c r="I23" s="815"/>
      <c r="K23" s="548"/>
      <c r="M23" s="238" t="b">
        <v>0</v>
      </c>
      <c r="N23" s="22" t="s">
        <v>373</v>
      </c>
      <c r="O23" s="22"/>
      <c r="P23" s="22" t="s">
        <v>374</v>
      </c>
      <c r="T23" s="401"/>
      <c r="U23" s="509"/>
      <c r="V23" s="118"/>
      <c r="W23" s="394"/>
      <c r="X23" s="526"/>
      <c r="Y23" s="394"/>
      <c r="Z23" s="526"/>
      <c r="AB23" s="40" t="b">
        <v>1</v>
      </c>
      <c r="AC23" s="8" t="s">
        <v>375</v>
      </c>
      <c r="AD23" s="526"/>
      <c r="AE23" s="93"/>
    </row>
    <row r="24" spans="1:31" ht="15" thickBot="1">
      <c r="A24" s="558"/>
      <c r="B24" s="209">
        <f>B23+1</f>
        <v>33</v>
      </c>
      <c r="C24" s="549"/>
      <c r="D24" s="59"/>
      <c r="E24" s="59"/>
      <c r="F24" s="59"/>
      <c r="G24" s="549"/>
      <c r="H24" s="59"/>
      <c r="I24" s="59"/>
      <c r="J24" s="59"/>
      <c r="K24" s="549"/>
      <c r="L24" s="59"/>
      <c r="M24" s="61" t="b">
        <v>0</v>
      </c>
      <c r="N24" s="59" t="s">
        <v>376</v>
      </c>
      <c r="O24" s="59"/>
      <c r="P24" s="59" t="s">
        <v>377</v>
      </c>
      <c r="Q24" s="59"/>
      <c r="R24" s="212"/>
      <c r="S24" s="59"/>
      <c r="T24" s="402"/>
      <c r="U24" s="510"/>
      <c r="V24" s="395"/>
      <c r="W24" s="396"/>
      <c r="X24" s="397"/>
      <c r="Y24" s="396"/>
      <c r="Z24" s="397"/>
      <c r="AA24" s="59"/>
      <c r="AB24" s="59"/>
      <c r="AC24" s="59"/>
      <c r="AD24" s="510"/>
      <c r="AE24" s="62"/>
    </row>
    <row r="25" spans="1:31" ht="5.0999999999999996" customHeight="1" thickBot="1">
      <c r="A25" s="100"/>
      <c r="B25" s="100"/>
      <c r="C25" s="112"/>
      <c r="D25" s="100"/>
      <c r="E25" s="100"/>
      <c r="F25" s="100"/>
      <c r="G25" s="112"/>
      <c r="H25" s="100"/>
      <c r="I25" s="100"/>
      <c r="J25" s="100"/>
      <c r="K25" s="112"/>
      <c r="L25" s="100"/>
      <c r="M25" s="100"/>
      <c r="N25" s="100"/>
      <c r="O25" s="100"/>
      <c r="P25" s="100"/>
      <c r="Q25" s="100"/>
      <c r="R25" s="231"/>
      <c r="S25" s="100"/>
      <c r="T25" s="398"/>
      <c r="U25" s="112"/>
      <c r="V25" s="398"/>
      <c r="W25" s="398"/>
      <c r="X25" s="398"/>
      <c r="Y25" s="398"/>
      <c r="Z25" s="398"/>
      <c r="AA25" s="100"/>
      <c r="AB25" s="100"/>
      <c r="AC25" s="100"/>
      <c r="AD25" s="112"/>
      <c r="AE25" s="100"/>
    </row>
    <row r="26" spans="1:31" ht="3.75" customHeight="1">
      <c r="A26" s="556">
        <f>A21+1</f>
        <v>4</v>
      </c>
      <c r="B26" s="208">
        <f>B21+10</f>
        <v>40</v>
      </c>
      <c r="C26" s="508"/>
      <c r="D26" s="54"/>
      <c r="E26" s="54"/>
      <c r="F26" s="54"/>
      <c r="G26" s="508"/>
      <c r="H26" s="54"/>
      <c r="I26" s="54"/>
      <c r="J26" s="54"/>
      <c r="K26" s="508"/>
      <c r="L26" s="54"/>
      <c r="M26" s="54"/>
      <c r="N26" s="54"/>
      <c r="O26" s="54"/>
      <c r="P26" s="54"/>
      <c r="Q26" s="54"/>
      <c r="R26" s="203"/>
      <c r="S26" s="54"/>
      <c r="T26" s="399"/>
      <c r="U26" s="508"/>
      <c r="V26" s="399"/>
      <c r="W26" s="399"/>
      <c r="X26" s="399"/>
      <c r="Y26" s="399"/>
      <c r="Z26" s="399"/>
      <c r="AA26" s="54"/>
      <c r="AB26" s="54"/>
      <c r="AC26" s="54"/>
      <c r="AD26" s="508"/>
      <c r="AE26" s="63"/>
    </row>
    <row r="27" spans="1:31" ht="29.1">
      <c r="A27" s="557"/>
      <c r="B27" s="209">
        <f>B22+10</f>
        <v>41</v>
      </c>
      <c r="C27" s="809"/>
      <c r="D27" s="3"/>
      <c r="E27" s="9"/>
      <c r="F27" s="3"/>
      <c r="G27" s="809"/>
      <c r="H27" s="3"/>
      <c r="I27" s="814"/>
      <c r="J27" s="3"/>
      <c r="K27" s="809"/>
      <c r="L27" s="3"/>
      <c r="M27" s="56" t="b">
        <v>0</v>
      </c>
      <c r="N27" t="s">
        <v>370</v>
      </c>
      <c r="O27" s="3"/>
      <c r="P27" s="3" t="s">
        <v>371</v>
      </c>
      <c r="Q27" s="3"/>
      <c r="R27" s="194"/>
      <c r="S27" s="3"/>
      <c r="T27" s="401"/>
      <c r="U27" s="517"/>
      <c r="V27" s="118"/>
      <c r="W27" s="526"/>
      <c r="X27" s="526"/>
      <c r="Y27" s="526"/>
      <c r="Z27" s="526"/>
      <c r="AA27" s="3"/>
      <c r="AB27" s="40" t="b">
        <v>0</v>
      </c>
      <c r="AC27" s="8" t="s">
        <v>372</v>
      </c>
      <c r="AD27" s="118" t="s">
        <v>140</v>
      </c>
      <c r="AE27" s="58"/>
    </row>
    <row r="28" spans="1:31" ht="29.1">
      <c r="A28" s="557"/>
      <c r="B28" s="209">
        <f>B27+1</f>
        <v>42</v>
      </c>
      <c r="C28" s="548"/>
      <c r="G28" s="548"/>
      <c r="I28" s="815"/>
      <c r="K28" s="548"/>
      <c r="M28" s="238" t="b">
        <v>0</v>
      </c>
      <c r="N28" s="22" t="s">
        <v>373</v>
      </c>
      <c r="O28" s="22"/>
      <c r="P28" s="22" t="s">
        <v>374</v>
      </c>
      <c r="T28" s="401"/>
      <c r="U28" s="509"/>
      <c r="V28" s="118"/>
      <c r="W28" s="394"/>
      <c r="X28" s="526"/>
      <c r="Y28" s="394"/>
      <c r="Z28" s="526"/>
      <c r="AB28" s="40" t="b">
        <v>1</v>
      </c>
      <c r="AC28" s="8" t="s">
        <v>375</v>
      </c>
      <c r="AD28" s="526"/>
      <c r="AE28" s="93"/>
    </row>
    <row r="29" spans="1:31" ht="15" thickBot="1">
      <c r="A29" s="558"/>
      <c r="B29" s="209">
        <f>B28+1</f>
        <v>43</v>
      </c>
      <c r="C29" s="817"/>
      <c r="D29" s="59"/>
      <c r="E29" s="59"/>
      <c r="F29" s="59"/>
      <c r="G29" s="817"/>
      <c r="H29" s="59"/>
      <c r="I29" s="59"/>
      <c r="J29" s="59"/>
      <c r="K29" s="817"/>
      <c r="L29" s="59"/>
      <c r="M29" s="61" t="b">
        <v>0</v>
      </c>
      <c r="N29" s="59" t="s">
        <v>376</v>
      </c>
      <c r="O29" s="59"/>
      <c r="P29" s="59" t="s">
        <v>377</v>
      </c>
      <c r="Q29" s="59"/>
      <c r="R29" s="212"/>
      <c r="S29" s="59"/>
      <c r="T29" s="402"/>
      <c r="U29" s="510"/>
      <c r="V29" s="395"/>
      <c r="W29" s="396"/>
      <c r="X29" s="397"/>
      <c r="Y29" s="396"/>
      <c r="Z29" s="397"/>
      <c r="AA29" s="59"/>
      <c r="AB29" s="59"/>
      <c r="AC29" s="59"/>
      <c r="AD29" s="510"/>
      <c r="AE29" s="62"/>
    </row>
    <row r="30" spans="1:31" ht="5.0999999999999996" customHeight="1" thickBot="1">
      <c r="A30" s="100"/>
      <c r="B30" s="100"/>
      <c r="C30" s="112"/>
      <c r="D30" s="100"/>
      <c r="E30" s="100"/>
      <c r="F30" s="100"/>
      <c r="G30" s="112"/>
      <c r="H30" s="100"/>
      <c r="I30" s="100"/>
      <c r="J30" s="100"/>
      <c r="K30" s="112"/>
      <c r="L30" s="100"/>
      <c r="M30" s="100"/>
      <c r="N30" s="100"/>
      <c r="O30" s="100"/>
      <c r="P30" s="100"/>
      <c r="Q30" s="100"/>
      <c r="R30" s="231"/>
      <c r="S30" s="100"/>
      <c r="T30" s="398"/>
      <c r="U30" s="112"/>
      <c r="V30" s="398"/>
      <c r="W30" s="398"/>
      <c r="X30" s="398"/>
      <c r="Y30" s="398"/>
      <c r="Z30" s="398"/>
      <c r="AA30" s="100"/>
      <c r="AB30" s="100"/>
      <c r="AC30" s="100"/>
      <c r="AD30" s="112"/>
      <c r="AE30" s="100"/>
    </row>
    <row r="31" spans="1:31" ht="3.6" customHeight="1">
      <c r="A31" s="556">
        <f>A26+1</f>
        <v>5</v>
      </c>
      <c r="B31" s="208">
        <f>B26+10</f>
        <v>50</v>
      </c>
      <c r="C31" s="508"/>
      <c r="D31" s="54"/>
      <c r="E31" s="54"/>
      <c r="F31" s="54"/>
      <c r="G31" s="508"/>
      <c r="H31" s="54"/>
      <c r="I31" s="54"/>
      <c r="J31" s="54"/>
      <c r="K31" s="508"/>
      <c r="L31" s="54"/>
      <c r="M31" s="54"/>
      <c r="N31" s="54"/>
      <c r="O31" s="54"/>
      <c r="P31" s="54"/>
      <c r="Q31" s="54"/>
      <c r="R31" s="203"/>
      <c r="S31" s="54"/>
      <c r="T31" s="399"/>
      <c r="U31" s="508"/>
      <c r="V31" s="399"/>
      <c r="W31" s="399"/>
      <c r="X31" s="399"/>
      <c r="Y31" s="399"/>
      <c r="Z31" s="399"/>
      <c r="AA31" s="54"/>
      <c r="AB31" s="54"/>
      <c r="AC31" s="54"/>
      <c r="AD31" s="508"/>
      <c r="AE31" s="63"/>
    </row>
    <row r="32" spans="1:31" ht="29.1">
      <c r="A32" s="557"/>
      <c r="B32" s="209">
        <f>B27+10</f>
        <v>51</v>
      </c>
      <c r="C32" s="809"/>
      <c r="D32" s="3"/>
      <c r="E32" s="9"/>
      <c r="F32" s="3"/>
      <c r="G32" s="809"/>
      <c r="H32" s="3"/>
      <c r="I32" s="814"/>
      <c r="J32" s="3"/>
      <c r="K32" s="809"/>
      <c r="L32" s="3"/>
      <c r="M32" s="56" t="b">
        <v>0</v>
      </c>
      <c r="N32" t="s">
        <v>370</v>
      </c>
      <c r="O32" s="3"/>
      <c r="P32" s="3" t="s">
        <v>371</v>
      </c>
      <c r="Q32" s="3"/>
      <c r="R32" s="194"/>
      <c r="S32" s="3"/>
      <c r="T32" s="401"/>
      <c r="U32" s="517"/>
      <c r="V32" s="118"/>
      <c r="W32" s="526"/>
      <c r="X32" s="526"/>
      <c r="Y32" s="526"/>
      <c r="Z32" s="526"/>
      <c r="AA32" s="3"/>
      <c r="AB32" s="40" t="b">
        <v>0</v>
      </c>
      <c r="AC32" s="8" t="s">
        <v>372</v>
      </c>
      <c r="AD32" s="118" t="s">
        <v>140</v>
      </c>
      <c r="AE32" s="58"/>
    </row>
    <row r="33" spans="1:31" ht="29.1">
      <c r="A33" s="557"/>
      <c r="B33" s="209">
        <f>B32+1</f>
        <v>52</v>
      </c>
      <c r="C33" s="548"/>
      <c r="G33" s="548"/>
      <c r="I33" s="815"/>
      <c r="K33" s="548"/>
      <c r="M33" s="238" t="b">
        <v>0</v>
      </c>
      <c r="N33" s="22" t="s">
        <v>373</v>
      </c>
      <c r="O33" s="22"/>
      <c r="P33" s="22" t="s">
        <v>374</v>
      </c>
      <c r="T33" s="401"/>
      <c r="U33" s="509"/>
      <c r="V33" s="118"/>
      <c r="W33" s="394"/>
      <c r="X33" s="526"/>
      <c r="Y33" s="394"/>
      <c r="Z33" s="526"/>
      <c r="AB33" s="40" t="b">
        <v>0</v>
      </c>
      <c r="AC33" s="8" t="s">
        <v>375</v>
      </c>
      <c r="AD33" s="526"/>
      <c r="AE33" s="93"/>
    </row>
    <row r="34" spans="1:31" ht="15" thickBot="1">
      <c r="A34" s="558"/>
      <c r="B34" s="209">
        <f>B33+1</f>
        <v>53</v>
      </c>
      <c r="C34" s="549"/>
      <c r="D34" s="59"/>
      <c r="E34" s="59"/>
      <c r="F34" s="59"/>
      <c r="G34" s="549"/>
      <c r="H34" s="59"/>
      <c r="I34" s="59"/>
      <c r="J34" s="59"/>
      <c r="K34" s="549"/>
      <c r="L34" s="59"/>
      <c r="M34" s="61" t="b">
        <v>0</v>
      </c>
      <c r="N34" s="59" t="s">
        <v>376</v>
      </c>
      <c r="O34" s="59"/>
      <c r="P34" s="59" t="s">
        <v>377</v>
      </c>
      <c r="Q34" s="59"/>
      <c r="R34" s="212"/>
      <c r="S34" s="59"/>
      <c r="T34" s="402"/>
      <c r="U34" s="510"/>
      <c r="V34" s="395"/>
      <c r="W34" s="396"/>
      <c r="X34" s="397"/>
      <c r="Y34" s="396"/>
      <c r="Z34" s="397"/>
      <c r="AA34" s="59"/>
      <c r="AB34" s="59"/>
      <c r="AC34" s="59"/>
      <c r="AD34" s="510"/>
      <c r="AE34" s="62"/>
    </row>
    <row r="35" spans="1:31" ht="5.0999999999999996" customHeight="1" thickBot="1">
      <c r="A35" s="100"/>
      <c r="B35" s="100"/>
      <c r="C35" s="112"/>
      <c r="D35" s="100"/>
      <c r="E35" s="100"/>
      <c r="F35" s="100"/>
      <c r="G35" s="112"/>
      <c r="H35" s="100"/>
      <c r="I35" s="100"/>
      <c r="J35" s="100"/>
      <c r="K35" s="112"/>
      <c r="L35" s="100"/>
      <c r="M35" s="100"/>
      <c r="N35" s="100"/>
      <c r="O35" s="100"/>
      <c r="P35" s="100"/>
      <c r="Q35" s="100"/>
      <c r="R35" s="231"/>
      <c r="S35" s="100"/>
      <c r="T35" s="398"/>
      <c r="U35" s="112"/>
      <c r="V35" s="398"/>
      <c r="W35" s="398"/>
      <c r="X35" s="398"/>
      <c r="Y35" s="398"/>
      <c r="Z35" s="398"/>
      <c r="AA35" s="100"/>
      <c r="AB35" s="100"/>
      <c r="AC35" s="100"/>
      <c r="AD35" s="112"/>
      <c r="AE35" s="100"/>
    </row>
    <row r="36" spans="1:31" ht="3.75" customHeight="1">
      <c r="A36" s="556">
        <f>A31+1</f>
        <v>6</v>
      </c>
      <c r="B36" s="208">
        <f>B31+10</f>
        <v>60</v>
      </c>
      <c r="C36" s="508"/>
      <c r="D36" s="54"/>
      <c r="E36" s="54"/>
      <c r="F36" s="54"/>
      <c r="G36" s="508"/>
      <c r="H36" s="54"/>
      <c r="I36" s="54"/>
      <c r="J36" s="54"/>
      <c r="K36" s="508"/>
      <c r="L36" s="54"/>
      <c r="M36" s="54"/>
      <c r="N36" s="54"/>
      <c r="O36" s="54"/>
      <c r="P36" s="54"/>
      <c r="Q36" s="54"/>
      <c r="R36" s="203"/>
      <c r="S36" s="54"/>
      <c r="T36" s="399"/>
      <c r="U36" s="508"/>
      <c r="V36" s="399"/>
      <c r="W36" s="399"/>
      <c r="X36" s="399"/>
      <c r="Y36" s="399"/>
      <c r="Z36" s="399"/>
      <c r="AA36" s="54"/>
      <c r="AB36" s="54"/>
      <c r="AC36" s="54"/>
      <c r="AD36" s="508"/>
      <c r="AE36" s="63"/>
    </row>
    <row r="37" spans="1:31" ht="29.1">
      <c r="A37" s="557"/>
      <c r="B37" s="209">
        <f>B32+10</f>
        <v>61</v>
      </c>
      <c r="C37" s="809"/>
      <c r="D37" s="3"/>
      <c r="E37" s="9"/>
      <c r="F37" s="3"/>
      <c r="G37" s="809"/>
      <c r="H37" s="3"/>
      <c r="I37" s="814"/>
      <c r="J37" s="3"/>
      <c r="K37" s="809"/>
      <c r="L37" s="3"/>
      <c r="M37" s="56" t="b">
        <v>0</v>
      </c>
      <c r="N37" t="s">
        <v>370</v>
      </c>
      <c r="O37" s="3"/>
      <c r="P37" s="3" t="s">
        <v>371</v>
      </c>
      <c r="Q37" s="3"/>
      <c r="R37" s="194"/>
      <c r="S37" s="3"/>
      <c r="T37" s="401"/>
      <c r="U37" s="517"/>
      <c r="V37" s="118"/>
      <c r="W37" s="526"/>
      <c r="X37" s="526"/>
      <c r="Y37" s="526"/>
      <c r="Z37" s="526"/>
      <c r="AA37" s="3"/>
      <c r="AB37" s="40" t="b">
        <v>0</v>
      </c>
      <c r="AC37" s="8" t="s">
        <v>372</v>
      </c>
      <c r="AD37" s="118" t="s">
        <v>140</v>
      </c>
      <c r="AE37" s="58"/>
    </row>
    <row r="38" spans="1:31" ht="29.1">
      <c r="A38" s="557"/>
      <c r="B38" s="209">
        <f>B37+1</f>
        <v>62</v>
      </c>
      <c r="C38" s="548"/>
      <c r="G38" s="548"/>
      <c r="I38" s="815"/>
      <c r="K38" s="548"/>
      <c r="M38" s="238" t="b">
        <v>0</v>
      </c>
      <c r="N38" s="22" t="s">
        <v>373</v>
      </c>
      <c r="O38" s="22"/>
      <c r="P38" s="22" t="s">
        <v>374</v>
      </c>
      <c r="T38" s="401"/>
      <c r="U38" s="509"/>
      <c r="V38" s="118"/>
      <c r="W38" s="394"/>
      <c r="X38" s="526"/>
      <c r="Y38" s="394"/>
      <c r="Z38" s="526"/>
      <c r="AB38" s="40" t="b">
        <v>1</v>
      </c>
      <c r="AC38" s="8" t="s">
        <v>375</v>
      </c>
      <c r="AD38" s="526"/>
      <c r="AE38" s="93"/>
    </row>
    <row r="39" spans="1:31" ht="15" thickBot="1">
      <c r="A39" s="558"/>
      <c r="B39" s="209">
        <f>B38+1</f>
        <v>63</v>
      </c>
      <c r="C39" s="549"/>
      <c r="D39" s="59"/>
      <c r="E39" s="59"/>
      <c r="F39" s="59"/>
      <c r="G39" s="549"/>
      <c r="H39" s="59"/>
      <c r="I39" s="59"/>
      <c r="J39" s="59"/>
      <c r="K39" s="549"/>
      <c r="L39" s="59"/>
      <c r="M39" s="61" t="b">
        <v>0</v>
      </c>
      <c r="N39" s="59" t="s">
        <v>376</v>
      </c>
      <c r="O39" s="59"/>
      <c r="P39" s="59" t="s">
        <v>377</v>
      </c>
      <c r="Q39" s="59"/>
      <c r="R39" s="212"/>
      <c r="S39" s="59"/>
      <c r="T39" s="402"/>
      <c r="U39" s="510"/>
      <c r="V39" s="395"/>
      <c r="W39" s="396"/>
      <c r="X39" s="397"/>
      <c r="Y39" s="396"/>
      <c r="Z39" s="397"/>
      <c r="AA39" s="59"/>
      <c r="AB39" s="59"/>
      <c r="AC39" s="59"/>
      <c r="AD39" s="510"/>
      <c r="AE39" s="62"/>
    </row>
    <row r="40" spans="1:31" ht="5.0999999999999996" customHeight="1" thickBot="1">
      <c r="A40" s="100"/>
      <c r="B40" s="100"/>
      <c r="C40" s="112"/>
      <c r="D40" s="100"/>
      <c r="E40" s="100"/>
      <c r="F40" s="100"/>
      <c r="G40" s="112"/>
      <c r="H40" s="100"/>
      <c r="I40" s="100"/>
      <c r="J40" s="100"/>
      <c r="K40" s="112"/>
      <c r="L40" s="100"/>
      <c r="M40" s="100"/>
      <c r="N40" s="100"/>
      <c r="O40" s="100"/>
      <c r="P40" s="100"/>
      <c r="Q40" s="100"/>
      <c r="R40" s="231"/>
      <c r="S40" s="100"/>
      <c r="T40" s="398"/>
      <c r="U40" s="112"/>
      <c r="V40" s="398"/>
      <c r="W40" s="398"/>
      <c r="X40" s="398"/>
      <c r="Y40" s="398"/>
      <c r="Z40" s="398"/>
      <c r="AA40" s="100"/>
      <c r="AB40" s="100"/>
      <c r="AC40" s="100"/>
      <c r="AD40" s="112"/>
      <c r="AE40" s="100"/>
    </row>
    <row r="41" spans="1:31" ht="4.5" customHeight="1">
      <c r="A41" s="556">
        <f>A36+1</f>
        <v>7</v>
      </c>
      <c r="B41" s="208">
        <f>B36+10</f>
        <v>70</v>
      </c>
      <c r="C41" s="508"/>
      <c r="D41" s="54"/>
      <c r="E41" s="54"/>
      <c r="F41" s="54"/>
      <c r="G41" s="508"/>
      <c r="H41" s="54"/>
      <c r="I41" s="54"/>
      <c r="J41" s="54"/>
      <c r="K41" s="508"/>
      <c r="L41" s="54"/>
      <c r="M41" s="54"/>
      <c r="N41" s="54"/>
      <c r="O41" s="54"/>
      <c r="P41" s="54"/>
      <c r="Q41" s="54"/>
      <c r="R41" s="203"/>
      <c r="S41" s="54"/>
      <c r="T41" s="399"/>
      <c r="U41" s="508"/>
      <c r="V41" s="399"/>
      <c r="W41" s="399"/>
      <c r="X41" s="399"/>
      <c r="Y41" s="399"/>
      <c r="Z41" s="399"/>
      <c r="AA41" s="54"/>
      <c r="AB41" s="54"/>
      <c r="AC41" s="54"/>
      <c r="AD41" s="508"/>
      <c r="AE41" s="63"/>
    </row>
    <row r="42" spans="1:31" ht="29.1">
      <c r="A42" s="557"/>
      <c r="B42" s="209">
        <f>B37+10</f>
        <v>71</v>
      </c>
      <c r="C42" s="809"/>
      <c r="D42" s="3"/>
      <c r="E42" s="9"/>
      <c r="F42" s="3"/>
      <c r="G42" s="809"/>
      <c r="H42" s="3"/>
      <c r="I42" s="814"/>
      <c r="J42" s="3"/>
      <c r="K42" s="809"/>
      <c r="L42" s="3"/>
      <c r="M42" s="56" t="b">
        <v>0</v>
      </c>
      <c r="N42" t="s">
        <v>370</v>
      </c>
      <c r="O42" s="3"/>
      <c r="P42" s="3" t="s">
        <v>371</v>
      </c>
      <c r="Q42" s="3"/>
      <c r="R42" s="194"/>
      <c r="S42" s="3"/>
      <c r="T42" s="401"/>
      <c r="U42" s="517"/>
      <c r="V42" s="118"/>
      <c r="W42" s="526"/>
      <c r="X42" s="526"/>
      <c r="Y42" s="526"/>
      <c r="Z42" s="526"/>
      <c r="AA42" s="3"/>
      <c r="AB42" s="40" t="b">
        <v>0</v>
      </c>
      <c r="AC42" s="8" t="s">
        <v>372</v>
      </c>
      <c r="AD42" s="118" t="s">
        <v>140</v>
      </c>
      <c r="AE42" s="58"/>
    </row>
    <row r="43" spans="1:31" ht="29.1">
      <c r="A43" s="557"/>
      <c r="B43" s="209">
        <f>B42+1</f>
        <v>72</v>
      </c>
      <c r="C43" s="548"/>
      <c r="G43" s="548"/>
      <c r="I43" s="815"/>
      <c r="K43" s="548"/>
      <c r="M43" s="238" t="b">
        <v>0</v>
      </c>
      <c r="N43" s="22" t="s">
        <v>373</v>
      </c>
      <c r="O43" s="22"/>
      <c r="P43" s="22" t="s">
        <v>374</v>
      </c>
      <c r="T43" s="401"/>
      <c r="U43" s="509"/>
      <c r="V43" s="118"/>
      <c r="W43" s="394"/>
      <c r="X43" s="526"/>
      <c r="Y43" s="394"/>
      <c r="Z43" s="526"/>
      <c r="AB43" s="40" t="b">
        <v>0</v>
      </c>
      <c r="AC43" s="8" t="s">
        <v>375</v>
      </c>
      <c r="AD43" s="526"/>
      <c r="AE43" s="93"/>
    </row>
    <row r="44" spans="1:31" ht="15" thickBot="1">
      <c r="A44" s="557"/>
      <c r="B44" s="209">
        <f>B43+1</f>
        <v>73</v>
      </c>
      <c r="C44" s="549"/>
      <c r="G44" s="548"/>
      <c r="K44" s="548"/>
      <c r="M44" s="56" t="b">
        <v>0</v>
      </c>
      <c r="N44" t="s">
        <v>376</v>
      </c>
      <c r="P44" t="s">
        <v>377</v>
      </c>
      <c r="T44" s="401"/>
      <c r="U44" s="509"/>
      <c r="V44" s="118"/>
      <c r="W44" s="394"/>
      <c r="X44" s="526"/>
      <c r="Y44" s="394"/>
      <c r="Z44" s="526"/>
      <c r="AD44" s="510"/>
      <c r="AE44" s="58"/>
    </row>
    <row r="45" spans="1:31" ht="5.0999999999999996" customHeight="1" thickBot="1">
      <c r="A45" s="102"/>
      <c r="B45" s="103"/>
      <c r="C45" s="113"/>
      <c r="D45" s="103"/>
      <c r="E45" s="103"/>
      <c r="F45" s="103"/>
      <c r="G45" s="113"/>
      <c r="H45" s="103"/>
      <c r="I45" s="103"/>
      <c r="J45" s="103"/>
      <c r="K45" s="113"/>
      <c r="L45" s="103"/>
      <c r="M45" s="103"/>
      <c r="N45" s="103"/>
      <c r="O45" s="103"/>
      <c r="P45" s="103"/>
      <c r="Q45" s="103"/>
      <c r="R45" s="232"/>
      <c r="S45" s="103"/>
      <c r="T45" s="400"/>
      <c r="U45" s="113"/>
      <c r="V45" s="400"/>
      <c r="W45" s="400"/>
      <c r="X45" s="400"/>
      <c r="Y45" s="400"/>
      <c r="Z45" s="400"/>
      <c r="AA45" s="103"/>
      <c r="AB45" s="103"/>
      <c r="AC45" s="103"/>
      <c r="AD45" s="113"/>
      <c r="AE45" s="104"/>
    </row>
    <row r="46" spans="1:31" ht="3.75" customHeight="1">
      <c r="A46" s="556">
        <f>A41+1</f>
        <v>8</v>
      </c>
      <c r="B46" s="208">
        <f>B41+10</f>
        <v>80</v>
      </c>
      <c r="C46" s="508"/>
      <c r="D46" s="54"/>
      <c r="E46" s="54"/>
      <c r="F46" s="54"/>
      <c r="G46" s="508"/>
      <c r="H46" s="54"/>
      <c r="I46" s="54"/>
      <c r="J46" s="54"/>
      <c r="K46" s="508"/>
      <c r="L46" s="54"/>
      <c r="M46" s="54"/>
      <c r="N46" s="54"/>
      <c r="O46" s="54"/>
      <c r="P46" s="54"/>
      <c r="Q46" s="54"/>
      <c r="R46" s="203"/>
      <c r="S46" s="54"/>
      <c r="T46" s="399"/>
      <c r="U46" s="508"/>
      <c r="V46" s="399"/>
      <c r="W46" s="399"/>
      <c r="X46" s="399"/>
      <c r="Y46" s="399"/>
      <c r="Z46" s="399"/>
      <c r="AA46" s="54"/>
      <c r="AB46" s="54"/>
      <c r="AC46" s="54"/>
      <c r="AD46" s="508"/>
      <c r="AE46" s="63"/>
    </row>
    <row r="47" spans="1:31" ht="29.1">
      <c r="A47" s="557"/>
      <c r="B47" s="209">
        <f>B42+10</f>
        <v>81</v>
      </c>
      <c r="C47" s="809"/>
      <c r="D47" s="3"/>
      <c r="E47" s="9"/>
      <c r="F47" s="3"/>
      <c r="G47" s="809"/>
      <c r="H47" s="3"/>
      <c r="I47" s="814"/>
      <c r="J47" s="3"/>
      <c r="K47" s="809"/>
      <c r="L47" s="3"/>
      <c r="M47" s="56" t="b">
        <v>0</v>
      </c>
      <c r="N47" t="s">
        <v>370</v>
      </c>
      <c r="O47" s="3"/>
      <c r="P47" s="3" t="s">
        <v>371</v>
      </c>
      <c r="Q47" s="3"/>
      <c r="R47" s="194"/>
      <c r="S47" s="3"/>
      <c r="T47" s="401"/>
      <c r="U47" s="517"/>
      <c r="V47" s="118"/>
      <c r="W47" s="526"/>
      <c r="X47" s="526"/>
      <c r="Y47" s="526"/>
      <c r="Z47" s="526"/>
      <c r="AA47" s="3"/>
      <c r="AB47" s="40" t="b">
        <v>0</v>
      </c>
      <c r="AC47" s="8" t="s">
        <v>372</v>
      </c>
      <c r="AD47" s="118" t="s">
        <v>140</v>
      </c>
      <c r="AE47" s="58"/>
    </row>
    <row r="48" spans="1:31" ht="29.1">
      <c r="A48" s="557"/>
      <c r="B48" s="209">
        <f>B47+1</f>
        <v>82</v>
      </c>
      <c r="C48" s="548"/>
      <c r="G48" s="548"/>
      <c r="I48" s="815"/>
      <c r="K48" s="548"/>
      <c r="M48" s="238" t="b">
        <v>0</v>
      </c>
      <c r="N48" s="22" t="s">
        <v>373</v>
      </c>
      <c r="O48" s="22"/>
      <c r="P48" s="22" t="s">
        <v>374</v>
      </c>
      <c r="T48" s="401"/>
      <c r="U48" s="509"/>
      <c r="V48" s="118"/>
      <c r="W48" s="394"/>
      <c r="X48" s="526"/>
      <c r="Y48" s="394"/>
      <c r="Z48" s="526"/>
      <c r="AB48" s="40" t="b">
        <v>0</v>
      </c>
      <c r="AC48" s="8" t="s">
        <v>375</v>
      </c>
      <c r="AD48" s="526"/>
      <c r="AE48" s="93"/>
    </row>
    <row r="49" spans="1:31" ht="15" thickBot="1">
      <c r="A49" s="557"/>
      <c r="B49" s="209">
        <f>B48+1</f>
        <v>83</v>
      </c>
      <c r="C49" s="549"/>
      <c r="G49" s="548"/>
      <c r="K49" s="548"/>
      <c r="M49" s="56" t="b">
        <v>0</v>
      </c>
      <c r="N49" t="s">
        <v>376</v>
      </c>
      <c r="P49" t="s">
        <v>377</v>
      </c>
      <c r="T49" s="401"/>
      <c r="U49" s="509"/>
      <c r="V49" s="118"/>
      <c r="W49" s="394"/>
      <c r="X49" s="526"/>
      <c r="Y49" s="394"/>
      <c r="Z49" s="526"/>
      <c r="AD49" s="510"/>
      <c r="AE49" s="58"/>
    </row>
    <row r="50" spans="1:31" ht="5.0999999999999996" customHeight="1" thickBot="1">
      <c r="A50" s="102"/>
      <c r="B50" s="103"/>
      <c r="C50" s="113"/>
      <c r="D50" s="103"/>
      <c r="E50" s="103"/>
      <c r="F50" s="103"/>
      <c r="G50" s="113"/>
      <c r="H50" s="103"/>
      <c r="I50" s="103"/>
      <c r="J50" s="103"/>
      <c r="K50" s="113"/>
      <c r="L50" s="103"/>
      <c r="M50" s="103"/>
      <c r="N50" s="103"/>
      <c r="O50" s="103"/>
      <c r="P50" s="103"/>
      <c r="Q50" s="103"/>
      <c r="R50" s="232"/>
      <c r="S50" s="103"/>
      <c r="T50" s="400"/>
      <c r="U50" s="113"/>
      <c r="V50" s="400"/>
      <c r="W50" s="400"/>
      <c r="X50" s="400"/>
      <c r="Y50" s="400"/>
      <c r="Z50" s="400"/>
      <c r="AA50" s="103"/>
      <c r="AB50" s="103"/>
      <c r="AC50" s="103"/>
      <c r="AD50" s="113"/>
      <c r="AE50" s="104"/>
    </row>
    <row r="51" spans="1:31" ht="4.5" customHeight="1">
      <c r="A51" s="556">
        <f>A46+1</f>
        <v>9</v>
      </c>
      <c r="B51" s="208">
        <f>B46+10</f>
        <v>90</v>
      </c>
      <c r="C51" s="508"/>
      <c r="D51" s="54"/>
      <c r="E51" s="54"/>
      <c r="F51" s="54"/>
      <c r="G51" s="508"/>
      <c r="H51" s="54"/>
      <c r="I51" s="54"/>
      <c r="J51" s="54"/>
      <c r="K51" s="508"/>
      <c r="L51" s="54"/>
      <c r="M51" s="54"/>
      <c r="N51" s="54"/>
      <c r="O51" s="54"/>
      <c r="P51" s="54"/>
      <c r="Q51" s="54"/>
      <c r="R51" s="203"/>
      <c r="S51" s="54"/>
      <c r="T51" s="399"/>
      <c r="U51" s="508"/>
      <c r="V51" s="399"/>
      <c r="W51" s="399"/>
      <c r="X51" s="399"/>
      <c r="Y51" s="399"/>
      <c r="Z51" s="399"/>
      <c r="AA51" s="54"/>
      <c r="AB51" s="54"/>
      <c r="AC51" s="54"/>
      <c r="AD51" s="508"/>
      <c r="AE51" s="63"/>
    </row>
    <row r="52" spans="1:31" ht="29.1">
      <c r="A52" s="557"/>
      <c r="B52" s="209">
        <f>B47+10</f>
        <v>91</v>
      </c>
      <c r="C52" s="809"/>
      <c r="D52" s="3"/>
      <c r="E52" s="9"/>
      <c r="F52" s="3"/>
      <c r="G52" s="809"/>
      <c r="H52" s="3"/>
      <c r="I52" s="814"/>
      <c r="J52" s="3"/>
      <c r="K52" s="809"/>
      <c r="L52" s="3"/>
      <c r="M52" s="56" t="b">
        <v>0</v>
      </c>
      <c r="N52" t="s">
        <v>370</v>
      </c>
      <c r="O52" s="3"/>
      <c r="P52" s="3" t="s">
        <v>371</v>
      </c>
      <c r="Q52" s="3"/>
      <c r="R52" s="194"/>
      <c r="S52" s="3"/>
      <c r="T52" s="401"/>
      <c r="U52" s="517"/>
      <c r="V52" s="118"/>
      <c r="W52" s="526"/>
      <c r="X52" s="526"/>
      <c r="Y52" s="526"/>
      <c r="Z52" s="526"/>
      <c r="AA52" s="3"/>
      <c r="AB52" s="40" t="b">
        <v>0</v>
      </c>
      <c r="AC52" s="8" t="s">
        <v>372</v>
      </c>
      <c r="AD52" s="118" t="s">
        <v>140</v>
      </c>
      <c r="AE52" s="58"/>
    </row>
    <row r="53" spans="1:31" ht="29.1">
      <c r="A53" s="557"/>
      <c r="B53" s="209">
        <f>B52+1</f>
        <v>92</v>
      </c>
      <c r="C53" s="548"/>
      <c r="G53" s="548"/>
      <c r="I53" s="815"/>
      <c r="K53" s="548"/>
      <c r="M53" s="238" t="b">
        <v>0</v>
      </c>
      <c r="N53" s="22" t="s">
        <v>373</v>
      </c>
      <c r="O53" s="22"/>
      <c r="P53" s="22" t="s">
        <v>374</v>
      </c>
      <c r="T53" s="401"/>
      <c r="U53" s="509"/>
      <c r="V53" s="118"/>
      <c r="W53" s="394"/>
      <c r="X53" s="526"/>
      <c r="Y53" s="394"/>
      <c r="Z53" s="526"/>
      <c r="AB53" s="40" t="b">
        <v>0</v>
      </c>
      <c r="AC53" s="8" t="s">
        <v>375</v>
      </c>
      <c r="AD53" s="526"/>
      <c r="AE53" s="93"/>
    </row>
    <row r="54" spans="1:31" ht="15" thickBot="1">
      <c r="A54" s="557"/>
      <c r="B54" s="209">
        <f>B53+1</f>
        <v>93</v>
      </c>
      <c r="C54" s="549"/>
      <c r="G54" s="548"/>
      <c r="K54" s="548"/>
      <c r="M54" s="56" t="b">
        <v>0</v>
      </c>
      <c r="N54" t="s">
        <v>376</v>
      </c>
      <c r="P54" t="s">
        <v>377</v>
      </c>
      <c r="T54" s="401"/>
      <c r="U54" s="509"/>
      <c r="V54" s="118"/>
      <c r="W54" s="394"/>
      <c r="X54" s="526"/>
      <c r="Y54" s="394"/>
      <c r="Z54" s="526"/>
      <c r="AD54" s="510"/>
      <c r="AE54" s="58"/>
    </row>
    <row r="55" spans="1:31" ht="5.0999999999999996" customHeight="1" thickBot="1">
      <c r="A55" s="102"/>
      <c r="B55" s="103"/>
      <c r="C55" s="113"/>
      <c r="D55" s="103"/>
      <c r="E55" s="103"/>
      <c r="F55" s="103"/>
      <c r="G55" s="113"/>
      <c r="H55" s="103"/>
      <c r="I55" s="103"/>
      <c r="J55" s="103"/>
      <c r="K55" s="113"/>
      <c r="L55" s="103"/>
      <c r="M55" s="103"/>
      <c r="N55" s="103"/>
      <c r="O55" s="103"/>
      <c r="P55" s="103"/>
      <c r="Q55" s="103"/>
      <c r="R55" s="232"/>
      <c r="S55" s="103"/>
      <c r="T55" s="400"/>
      <c r="U55" s="113"/>
      <c r="V55" s="400"/>
      <c r="W55" s="400"/>
      <c r="X55" s="400"/>
      <c r="Y55" s="400"/>
      <c r="Z55" s="400"/>
      <c r="AA55" s="103"/>
      <c r="AB55" s="103"/>
      <c r="AC55" s="103"/>
      <c r="AD55" s="113"/>
      <c r="AE55" s="104"/>
    </row>
    <row r="56" spans="1:31" ht="3.75" customHeight="1">
      <c r="A56" s="556">
        <f>A51+1</f>
        <v>10</v>
      </c>
      <c r="B56" s="208">
        <f>B51+10</f>
        <v>100</v>
      </c>
      <c r="C56" s="508"/>
      <c r="D56" s="54"/>
      <c r="E56" s="54"/>
      <c r="F56" s="54"/>
      <c r="G56" s="508"/>
      <c r="H56" s="54"/>
      <c r="I56" s="54"/>
      <c r="J56" s="54"/>
      <c r="K56" s="508"/>
      <c r="L56" s="54"/>
      <c r="M56" s="54"/>
      <c r="N56" s="54"/>
      <c r="O56" s="54"/>
      <c r="P56" s="54"/>
      <c r="Q56" s="54"/>
      <c r="R56" s="203"/>
      <c r="S56" s="54"/>
      <c r="T56" s="399"/>
      <c r="U56" s="508"/>
      <c r="V56" s="399"/>
      <c r="W56" s="399"/>
      <c r="X56" s="399"/>
      <c r="Y56" s="399"/>
      <c r="Z56" s="399"/>
      <c r="AA56" s="54"/>
      <c r="AB56" s="54"/>
      <c r="AC56" s="54"/>
      <c r="AD56" s="508"/>
      <c r="AE56" s="63"/>
    </row>
    <row r="57" spans="1:31" ht="29.1">
      <c r="A57" s="557"/>
      <c r="B57" s="209">
        <f>B52+10</f>
        <v>101</v>
      </c>
      <c r="C57" s="809"/>
      <c r="D57" s="3"/>
      <c r="E57" s="9"/>
      <c r="F57" s="3"/>
      <c r="G57" s="809"/>
      <c r="H57" s="3"/>
      <c r="I57" s="814"/>
      <c r="J57" s="3"/>
      <c r="K57" s="809"/>
      <c r="L57" s="3"/>
      <c r="M57" s="56" t="b">
        <v>0</v>
      </c>
      <c r="N57" t="s">
        <v>370</v>
      </c>
      <c r="O57" s="3"/>
      <c r="P57" s="3" t="s">
        <v>371</v>
      </c>
      <c r="Q57" s="3"/>
      <c r="R57" s="194"/>
      <c r="S57" s="3"/>
      <c r="T57" s="401"/>
      <c r="U57" s="517"/>
      <c r="V57" s="118"/>
      <c r="W57" s="526"/>
      <c r="X57" s="526"/>
      <c r="Y57" s="526"/>
      <c r="Z57" s="526"/>
      <c r="AA57" s="3"/>
      <c r="AB57" s="40" t="b">
        <v>0</v>
      </c>
      <c r="AC57" s="8" t="s">
        <v>372</v>
      </c>
      <c r="AD57" s="118" t="s">
        <v>140</v>
      </c>
      <c r="AE57" s="58"/>
    </row>
    <row r="58" spans="1:31" ht="29.1">
      <c r="A58" s="557"/>
      <c r="B58" s="209">
        <f>B57+1</f>
        <v>102</v>
      </c>
      <c r="C58" s="548"/>
      <c r="G58" s="548"/>
      <c r="I58" s="815"/>
      <c r="K58" s="548"/>
      <c r="M58" s="238" t="b">
        <v>0</v>
      </c>
      <c r="N58" s="22" t="s">
        <v>373</v>
      </c>
      <c r="O58" s="22"/>
      <c r="P58" s="22" t="s">
        <v>374</v>
      </c>
      <c r="T58" s="401"/>
      <c r="U58" s="509"/>
      <c r="V58" s="118"/>
      <c r="W58" s="394"/>
      <c r="X58" s="526"/>
      <c r="Y58" s="394"/>
      <c r="Z58" s="526"/>
      <c r="AB58" s="40" t="b">
        <v>0</v>
      </c>
      <c r="AC58" s="8" t="s">
        <v>375</v>
      </c>
      <c r="AD58" s="526"/>
      <c r="AE58" s="93"/>
    </row>
    <row r="59" spans="1:31" ht="15" thickBot="1">
      <c r="A59" s="557"/>
      <c r="B59" s="209">
        <f>B58+1</f>
        <v>103</v>
      </c>
      <c r="C59" s="549"/>
      <c r="G59" s="548"/>
      <c r="K59" s="548"/>
      <c r="M59" s="56" t="b">
        <v>0</v>
      </c>
      <c r="N59" t="s">
        <v>376</v>
      </c>
      <c r="P59" t="s">
        <v>377</v>
      </c>
      <c r="T59" s="401"/>
      <c r="U59" s="509"/>
      <c r="V59" s="118"/>
      <c r="W59" s="394"/>
      <c r="X59" s="526"/>
      <c r="Y59" s="394"/>
      <c r="Z59" s="526"/>
      <c r="AD59" s="510"/>
      <c r="AE59" s="58"/>
    </row>
    <row r="60" spans="1:31" ht="5.0999999999999996" customHeight="1" thickBot="1">
      <c r="A60" s="102"/>
      <c r="B60" s="103"/>
      <c r="C60" s="113"/>
      <c r="D60" s="103"/>
      <c r="E60" s="103"/>
      <c r="F60" s="103"/>
      <c r="G60" s="113"/>
      <c r="H60" s="103"/>
      <c r="I60" s="103"/>
      <c r="J60" s="103"/>
      <c r="K60" s="113"/>
      <c r="L60" s="103"/>
      <c r="M60" s="103"/>
      <c r="N60" s="103"/>
      <c r="O60" s="103"/>
      <c r="P60" s="103"/>
      <c r="Q60" s="103"/>
      <c r="R60" s="232"/>
      <c r="S60" s="103"/>
      <c r="T60" s="400"/>
      <c r="U60" s="113"/>
      <c r="V60" s="400"/>
      <c r="W60" s="400"/>
      <c r="X60" s="400"/>
      <c r="Y60" s="400"/>
      <c r="Z60" s="400"/>
      <c r="AA60" s="103"/>
      <c r="AB60" s="103"/>
      <c r="AC60" s="103"/>
      <c r="AD60" s="113"/>
      <c r="AE60" s="104"/>
    </row>
    <row r="61" spans="1:31" ht="3.75" customHeight="1">
      <c r="A61" s="556">
        <f>A56+1</f>
        <v>11</v>
      </c>
      <c r="B61" s="208">
        <f>B56+10</f>
        <v>110</v>
      </c>
      <c r="C61" s="508"/>
      <c r="D61" s="54"/>
      <c r="E61" s="54"/>
      <c r="F61" s="54"/>
      <c r="G61" s="508"/>
      <c r="H61" s="54"/>
      <c r="I61" s="54"/>
      <c r="J61" s="54"/>
      <c r="K61" s="508"/>
      <c r="L61" s="54"/>
      <c r="M61" s="54"/>
      <c r="N61" s="54"/>
      <c r="O61" s="54"/>
      <c r="P61" s="54"/>
      <c r="Q61" s="54"/>
      <c r="R61" s="203"/>
      <c r="S61" s="54"/>
      <c r="T61" s="399"/>
      <c r="U61" s="508"/>
      <c r="V61" s="399"/>
      <c r="W61" s="399"/>
      <c r="X61" s="399"/>
      <c r="Y61" s="399"/>
      <c r="Z61" s="399"/>
      <c r="AA61" s="54"/>
      <c r="AB61" s="54"/>
      <c r="AC61" s="54"/>
      <c r="AD61" s="508"/>
      <c r="AE61" s="63"/>
    </row>
    <row r="62" spans="1:31" ht="29.1">
      <c r="A62" s="557"/>
      <c r="B62" s="209">
        <f>B57+10</f>
        <v>111</v>
      </c>
      <c r="C62" s="809"/>
      <c r="D62" s="3"/>
      <c r="E62" s="9"/>
      <c r="F62" s="3"/>
      <c r="G62" s="809"/>
      <c r="H62" s="3"/>
      <c r="I62" s="814"/>
      <c r="J62" s="3"/>
      <c r="K62" s="809"/>
      <c r="L62" s="3"/>
      <c r="M62" s="56" t="b">
        <v>0</v>
      </c>
      <c r="N62" t="s">
        <v>370</v>
      </c>
      <c r="O62" s="3"/>
      <c r="P62" s="3" t="s">
        <v>371</v>
      </c>
      <c r="Q62" s="3"/>
      <c r="R62" s="194"/>
      <c r="S62" s="3"/>
      <c r="T62" s="401"/>
      <c r="U62" s="517"/>
      <c r="V62" s="118"/>
      <c r="W62" s="526"/>
      <c r="X62" s="526"/>
      <c r="Y62" s="526"/>
      <c r="Z62" s="526"/>
      <c r="AA62" s="3"/>
      <c r="AB62" s="40" t="b">
        <v>0</v>
      </c>
      <c r="AC62" s="8" t="s">
        <v>372</v>
      </c>
      <c r="AD62" s="118" t="s">
        <v>140</v>
      </c>
      <c r="AE62" s="58"/>
    </row>
    <row r="63" spans="1:31" ht="29.1">
      <c r="A63" s="557"/>
      <c r="B63" s="209">
        <f>B62+1</f>
        <v>112</v>
      </c>
      <c r="C63" s="548"/>
      <c r="G63" s="548"/>
      <c r="I63" s="815"/>
      <c r="K63" s="548"/>
      <c r="M63" s="238" t="b">
        <v>0</v>
      </c>
      <c r="N63" s="22" t="s">
        <v>373</v>
      </c>
      <c r="O63" s="22"/>
      <c r="P63" s="22" t="s">
        <v>374</v>
      </c>
      <c r="T63" s="401"/>
      <c r="U63" s="509"/>
      <c r="V63" s="118"/>
      <c r="W63" s="394"/>
      <c r="X63" s="526"/>
      <c r="Y63" s="394"/>
      <c r="Z63" s="526"/>
      <c r="AB63" s="40" t="b">
        <v>0</v>
      </c>
      <c r="AC63" s="8" t="s">
        <v>375</v>
      </c>
      <c r="AD63" s="526"/>
      <c r="AE63" s="93"/>
    </row>
    <row r="64" spans="1:31" ht="15" thickBot="1">
      <c r="A64" s="557"/>
      <c r="B64" s="209">
        <f>B63+1</f>
        <v>113</v>
      </c>
      <c r="C64" s="549"/>
      <c r="G64" s="548"/>
      <c r="K64" s="548"/>
      <c r="M64" s="56" t="b">
        <v>0</v>
      </c>
      <c r="N64" t="s">
        <v>376</v>
      </c>
      <c r="P64" t="s">
        <v>377</v>
      </c>
      <c r="T64" s="401"/>
      <c r="U64" s="509"/>
      <c r="V64" s="118"/>
      <c r="W64" s="394"/>
      <c r="X64" s="526"/>
      <c r="Y64" s="394"/>
      <c r="Z64" s="526"/>
      <c r="AD64" s="510"/>
      <c r="AE64" s="58"/>
    </row>
    <row r="65" spans="1:31" ht="5.0999999999999996" customHeight="1" thickBot="1">
      <c r="A65" s="102"/>
      <c r="B65" s="103"/>
      <c r="C65" s="113"/>
      <c r="D65" s="103"/>
      <c r="E65" s="103"/>
      <c r="F65" s="103"/>
      <c r="G65" s="113"/>
      <c r="H65" s="103"/>
      <c r="I65" s="103"/>
      <c r="J65" s="103"/>
      <c r="K65" s="113"/>
      <c r="L65" s="103"/>
      <c r="M65" s="103"/>
      <c r="N65" s="103"/>
      <c r="O65" s="103"/>
      <c r="P65" s="103"/>
      <c r="Q65" s="103"/>
      <c r="R65" s="232"/>
      <c r="S65" s="103"/>
      <c r="T65" s="400"/>
      <c r="U65" s="113"/>
      <c r="V65" s="400"/>
      <c r="W65" s="400"/>
      <c r="X65" s="400"/>
      <c r="Y65" s="400"/>
      <c r="Z65" s="400"/>
      <c r="AA65" s="103"/>
      <c r="AB65" s="103"/>
      <c r="AC65" s="103"/>
      <c r="AD65" s="113"/>
      <c r="AE65" s="104"/>
    </row>
    <row r="66" spans="1:31" ht="3.75" customHeight="1">
      <c r="A66" s="556">
        <f>A61+1</f>
        <v>12</v>
      </c>
      <c r="B66" s="208">
        <f>B61+10</f>
        <v>120</v>
      </c>
      <c r="C66" s="508"/>
      <c r="D66" s="54"/>
      <c r="E66" s="54"/>
      <c r="F66" s="54"/>
      <c r="G66" s="508"/>
      <c r="H66" s="54"/>
      <c r="I66" s="54"/>
      <c r="J66" s="54"/>
      <c r="K66" s="508"/>
      <c r="L66" s="54"/>
      <c r="M66" s="54"/>
      <c r="N66" s="54"/>
      <c r="O66" s="54"/>
      <c r="P66" s="54"/>
      <c r="Q66" s="54"/>
      <c r="R66" s="203"/>
      <c r="S66" s="54"/>
      <c r="T66" s="399"/>
      <c r="U66" s="508"/>
      <c r="V66" s="399"/>
      <c r="W66" s="399"/>
      <c r="X66" s="399"/>
      <c r="Y66" s="399"/>
      <c r="Z66" s="399"/>
      <c r="AA66" s="54"/>
      <c r="AB66" s="54"/>
      <c r="AC66" s="54"/>
      <c r="AD66" s="508"/>
      <c r="AE66" s="63"/>
    </row>
    <row r="67" spans="1:31" ht="29.1">
      <c r="A67" s="557"/>
      <c r="B67" s="209">
        <f>B62+10</f>
        <v>121</v>
      </c>
      <c r="C67" s="809"/>
      <c r="D67" s="3"/>
      <c r="E67" s="9"/>
      <c r="F67" s="3"/>
      <c r="G67" s="809"/>
      <c r="H67" s="3"/>
      <c r="I67" s="814"/>
      <c r="J67" s="3"/>
      <c r="K67" s="809"/>
      <c r="L67" s="3"/>
      <c r="M67" s="56" t="b">
        <v>0</v>
      </c>
      <c r="N67" t="s">
        <v>370</v>
      </c>
      <c r="O67" s="3"/>
      <c r="P67" s="3" t="s">
        <v>371</v>
      </c>
      <c r="Q67" s="3"/>
      <c r="R67" s="194"/>
      <c r="S67" s="3"/>
      <c r="T67" s="401"/>
      <c r="U67" s="517"/>
      <c r="V67" s="118"/>
      <c r="W67" s="526"/>
      <c r="X67" s="526"/>
      <c r="Y67" s="526"/>
      <c r="Z67" s="526"/>
      <c r="AA67" s="3"/>
      <c r="AB67" s="40" t="b">
        <v>0</v>
      </c>
      <c r="AC67" s="8" t="s">
        <v>372</v>
      </c>
      <c r="AD67" s="118" t="s">
        <v>140</v>
      </c>
      <c r="AE67" s="58"/>
    </row>
    <row r="68" spans="1:31" ht="29.1">
      <c r="A68" s="557"/>
      <c r="B68" s="209">
        <f>B67+1</f>
        <v>122</v>
      </c>
      <c r="C68" s="548"/>
      <c r="G68" s="548"/>
      <c r="I68" s="815"/>
      <c r="K68" s="548"/>
      <c r="M68" s="238" t="b">
        <v>0</v>
      </c>
      <c r="N68" s="22" t="s">
        <v>373</v>
      </c>
      <c r="O68" s="22"/>
      <c r="P68" s="22" t="s">
        <v>374</v>
      </c>
      <c r="T68" s="401"/>
      <c r="U68" s="509"/>
      <c r="V68" s="118"/>
      <c r="W68" s="394"/>
      <c r="X68" s="526"/>
      <c r="Y68" s="394"/>
      <c r="Z68" s="526"/>
      <c r="AB68" s="40" t="b">
        <v>0</v>
      </c>
      <c r="AC68" s="8" t="s">
        <v>375</v>
      </c>
      <c r="AD68" s="526"/>
      <c r="AE68" s="93"/>
    </row>
    <row r="69" spans="1:31" ht="15" thickBot="1">
      <c r="A69" s="557"/>
      <c r="B69" s="209">
        <f>B68+1</f>
        <v>123</v>
      </c>
      <c r="C69" s="549"/>
      <c r="G69" s="548"/>
      <c r="K69" s="548"/>
      <c r="M69" s="56" t="b">
        <v>0</v>
      </c>
      <c r="N69" t="s">
        <v>376</v>
      </c>
      <c r="P69" t="s">
        <v>377</v>
      </c>
      <c r="T69" s="401"/>
      <c r="U69" s="509"/>
      <c r="V69" s="118"/>
      <c r="W69" s="394"/>
      <c r="X69" s="526"/>
      <c r="Y69" s="394"/>
      <c r="Z69" s="526"/>
      <c r="AD69" s="510"/>
      <c r="AE69" s="58"/>
    </row>
    <row r="70" spans="1:31" ht="5.0999999999999996" customHeight="1" thickBot="1">
      <c r="A70" s="102"/>
      <c r="B70" s="103"/>
      <c r="C70" s="113"/>
      <c r="D70" s="103"/>
      <c r="E70" s="103"/>
      <c r="F70" s="103"/>
      <c r="G70" s="113"/>
      <c r="H70" s="103"/>
      <c r="I70" s="103"/>
      <c r="J70" s="103"/>
      <c r="K70" s="113"/>
      <c r="L70" s="103"/>
      <c r="M70" s="103"/>
      <c r="N70" s="103"/>
      <c r="O70" s="103"/>
      <c r="P70" s="103"/>
      <c r="Q70" s="103"/>
      <c r="R70" s="232"/>
      <c r="S70" s="103"/>
      <c r="T70" s="400"/>
      <c r="U70" s="113"/>
      <c r="V70" s="400"/>
      <c r="W70" s="400"/>
      <c r="X70" s="400"/>
      <c r="Y70" s="400"/>
      <c r="Z70" s="400"/>
      <c r="AA70" s="103"/>
      <c r="AB70" s="103"/>
      <c r="AC70" s="103"/>
      <c r="AD70" s="113"/>
      <c r="AE70" s="104"/>
    </row>
    <row r="71" spans="1:31" ht="3.75" customHeight="1">
      <c r="A71" s="556">
        <f>A66+1</f>
        <v>13</v>
      </c>
      <c r="B71" s="208">
        <f>B66+10</f>
        <v>130</v>
      </c>
      <c r="C71" s="508"/>
      <c r="D71" s="54"/>
      <c r="E71" s="54"/>
      <c r="F71" s="54"/>
      <c r="G71" s="508"/>
      <c r="H71" s="54"/>
      <c r="I71" s="54"/>
      <c r="J71" s="54"/>
      <c r="K71" s="508"/>
      <c r="L71" s="54"/>
      <c r="M71" s="54"/>
      <c r="N71" s="54"/>
      <c r="O71" s="54"/>
      <c r="P71" s="54"/>
      <c r="Q71" s="54"/>
      <c r="R71" s="203"/>
      <c r="S71" s="54"/>
      <c r="T71" s="399"/>
      <c r="U71" s="508"/>
      <c r="V71" s="399"/>
      <c r="W71" s="399"/>
      <c r="X71" s="399"/>
      <c r="Y71" s="399"/>
      <c r="Z71" s="399"/>
      <c r="AA71" s="54"/>
      <c r="AB71" s="54"/>
      <c r="AC71" s="54"/>
      <c r="AD71" s="508"/>
      <c r="AE71" s="63"/>
    </row>
    <row r="72" spans="1:31" ht="29.1">
      <c r="A72" s="557"/>
      <c r="B72" s="209">
        <f>B67+10</f>
        <v>131</v>
      </c>
      <c r="C72" s="809"/>
      <c r="D72" s="3"/>
      <c r="E72" s="9"/>
      <c r="F72" s="3"/>
      <c r="G72" s="809"/>
      <c r="H72" s="3"/>
      <c r="I72" s="814"/>
      <c r="J72" s="3"/>
      <c r="K72" s="809"/>
      <c r="L72" s="3"/>
      <c r="M72" s="56" t="b">
        <v>0</v>
      </c>
      <c r="N72" t="s">
        <v>370</v>
      </c>
      <c r="O72" s="3"/>
      <c r="P72" s="3" t="s">
        <v>371</v>
      </c>
      <c r="Q72" s="3"/>
      <c r="R72" s="194"/>
      <c r="S72" s="3"/>
      <c r="T72" s="401"/>
      <c r="U72" s="517"/>
      <c r="V72" s="118"/>
      <c r="W72" s="526"/>
      <c r="X72" s="526"/>
      <c r="Y72" s="526"/>
      <c r="Z72" s="526"/>
      <c r="AA72" s="3"/>
      <c r="AB72" s="40" t="b">
        <v>0</v>
      </c>
      <c r="AC72" s="8" t="s">
        <v>372</v>
      </c>
      <c r="AD72" s="118" t="s">
        <v>140</v>
      </c>
      <c r="AE72" s="58"/>
    </row>
    <row r="73" spans="1:31" ht="29.1">
      <c r="A73" s="557"/>
      <c r="B73" s="209">
        <f>B72+1</f>
        <v>132</v>
      </c>
      <c r="C73" s="548"/>
      <c r="G73" s="548"/>
      <c r="I73" s="815"/>
      <c r="K73" s="548"/>
      <c r="M73" s="238" t="b">
        <v>0</v>
      </c>
      <c r="N73" s="22" t="s">
        <v>373</v>
      </c>
      <c r="O73" s="22"/>
      <c r="P73" s="22" t="s">
        <v>374</v>
      </c>
      <c r="T73" s="401"/>
      <c r="U73" s="509"/>
      <c r="V73" s="118"/>
      <c r="W73" s="394"/>
      <c r="X73" s="526"/>
      <c r="Y73" s="394"/>
      <c r="Z73" s="526"/>
      <c r="AB73" s="40" t="b">
        <v>0</v>
      </c>
      <c r="AC73" s="8" t="s">
        <v>375</v>
      </c>
      <c r="AD73" s="526"/>
      <c r="AE73" s="93"/>
    </row>
    <row r="74" spans="1:31" ht="15" thickBot="1">
      <c r="A74" s="557"/>
      <c r="B74" s="209">
        <f>B73+1</f>
        <v>133</v>
      </c>
      <c r="C74" s="549"/>
      <c r="G74" s="548"/>
      <c r="K74" s="548"/>
      <c r="M74" s="56" t="b">
        <v>0</v>
      </c>
      <c r="N74" t="s">
        <v>376</v>
      </c>
      <c r="P74" t="s">
        <v>377</v>
      </c>
      <c r="T74" s="401"/>
      <c r="U74" s="509"/>
      <c r="V74" s="118"/>
      <c r="W74" s="394"/>
      <c r="X74" s="526"/>
      <c r="Y74" s="394"/>
      <c r="Z74" s="526"/>
      <c r="AD74" s="510"/>
      <c r="AE74" s="58"/>
    </row>
    <row r="75" spans="1:31" ht="5.0999999999999996" customHeight="1" thickBot="1">
      <c r="A75" s="102"/>
      <c r="B75" s="103"/>
      <c r="C75" s="113"/>
      <c r="D75" s="103"/>
      <c r="E75" s="103"/>
      <c r="F75" s="103"/>
      <c r="G75" s="113"/>
      <c r="H75" s="103"/>
      <c r="I75" s="103"/>
      <c r="J75" s="103"/>
      <c r="K75" s="113"/>
      <c r="L75" s="103"/>
      <c r="M75" s="103"/>
      <c r="N75" s="103"/>
      <c r="O75" s="103"/>
      <c r="P75" s="103"/>
      <c r="Q75" s="103"/>
      <c r="R75" s="232"/>
      <c r="S75" s="103"/>
      <c r="T75" s="400"/>
      <c r="U75" s="113"/>
      <c r="V75" s="400"/>
      <c r="W75" s="400"/>
      <c r="X75" s="400"/>
      <c r="Y75" s="400"/>
      <c r="Z75" s="400"/>
      <c r="AA75" s="103"/>
      <c r="AB75" s="103"/>
      <c r="AC75" s="103"/>
      <c r="AD75" s="113"/>
      <c r="AE75" s="104"/>
    </row>
    <row r="76" spans="1:31" ht="3.75" customHeight="1">
      <c r="A76" s="556">
        <f>A71+1</f>
        <v>14</v>
      </c>
      <c r="B76" s="208">
        <f>B71+10</f>
        <v>140</v>
      </c>
      <c r="C76" s="508"/>
      <c r="D76" s="54"/>
      <c r="E76" s="54"/>
      <c r="F76" s="54"/>
      <c r="G76" s="508"/>
      <c r="H76" s="54"/>
      <c r="I76" s="54"/>
      <c r="J76" s="54"/>
      <c r="K76" s="508"/>
      <c r="L76" s="54"/>
      <c r="M76" s="54"/>
      <c r="N76" s="54"/>
      <c r="O76" s="54"/>
      <c r="P76" s="54"/>
      <c r="Q76" s="54"/>
      <c r="R76" s="203"/>
      <c r="S76" s="54"/>
      <c r="T76" s="399"/>
      <c r="U76" s="508"/>
      <c r="V76" s="399"/>
      <c r="W76" s="399"/>
      <c r="X76" s="399"/>
      <c r="Y76" s="399"/>
      <c r="Z76" s="399"/>
      <c r="AA76" s="54"/>
      <c r="AB76" s="54"/>
      <c r="AC76" s="54"/>
      <c r="AD76" s="508"/>
      <c r="AE76" s="63"/>
    </row>
    <row r="77" spans="1:31" ht="29.1">
      <c r="A77" s="557"/>
      <c r="B77" s="209">
        <f>B72+10</f>
        <v>141</v>
      </c>
      <c r="C77" s="809"/>
      <c r="D77" s="3"/>
      <c r="E77" s="9"/>
      <c r="F77" s="3"/>
      <c r="G77" s="809"/>
      <c r="H77" s="3"/>
      <c r="I77" s="814"/>
      <c r="J77" s="3"/>
      <c r="K77" s="809"/>
      <c r="L77" s="3"/>
      <c r="M77" s="56" t="b">
        <v>0</v>
      </c>
      <c r="N77" t="s">
        <v>370</v>
      </c>
      <c r="O77" s="3"/>
      <c r="P77" s="3" t="s">
        <v>371</v>
      </c>
      <c r="Q77" s="3"/>
      <c r="R77" s="194"/>
      <c r="S77" s="3"/>
      <c r="T77" s="401"/>
      <c r="U77" s="517"/>
      <c r="V77" s="118"/>
      <c r="W77" s="526"/>
      <c r="X77" s="526"/>
      <c r="Y77" s="526"/>
      <c r="Z77" s="526"/>
      <c r="AA77" s="3"/>
      <c r="AB77" s="40" t="b">
        <v>0</v>
      </c>
      <c r="AC77" s="8" t="s">
        <v>372</v>
      </c>
      <c r="AD77" s="118" t="s">
        <v>140</v>
      </c>
      <c r="AE77" s="58"/>
    </row>
    <row r="78" spans="1:31" ht="29.1">
      <c r="A78" s="557"/>
      <c r="B78" s="209">
        <f>B77+1</f>
        <v>142</v>
      </c>
      <c r="C78" s="548"/>
      <c r="G78" s="548"/>
      <c r="I78" s="815"/>
      <c r="K78" s="548"/>
      <c r="M78" s="238" t="b">
        <v>0</v>
      </c>
      <c r="N78" s="22" t="s">
        <v>373</v>
      </c>
      <c r="O78" s="22"/>
      <c r="P78" s="22" t="s">
        <v>374</v>
      </c>
      <c r="T78" s="401"/>
      <c r="U78" s="509"/>
      <c r="V78" s="118"/>
      <c r="W78" s="394"/>
      <c r="X78" s="526"/>
      <c r="Y78" s="394"/>
      <c r="Z78" s="526"/>
      <c r="AB78" s="40" t="b">
        <v>0</v>
      </c>
      <c r="AC78" s="8" t="s">
        <v>375</v>
      </c>
      <c r="AD78" s="526"/>
      <c r="AE78" s="93"/>
    </row>
    <row r="79" spans="1:31" ht="15" thickBot="1">
      <c r="A79" s="557"/>
      <c r="B79" s="209">
        <f>B78+1</f>
        <v>143</v>
      </c>
      <c r="C79" s="549"/>
      <c r="G79" s="548"/>
      <c r="K79" s="548"/>
      <c r="M79" s="56" t="b">
        <v>0</v>
      </c>
      <c r="N79" t="s">
        <v>376</v>
      </c>
      <c r="P79" t="s">
        <v>377</v>
      </c>
      <c r="T79" s="401"/>
      <c r="U79" s="509"/>
      <c r="V79" s="118"/>
      <c r="W79" s="394"/>
      <c r="X79" s="526"/>
      <c r="Y79" s="394"/>
      <c r="Z79" s="526"/>
      <c r="AD79" s="510"/>
      <c r="AE79" s="58"/>
    </row>
    <row r="80" spans="1:31" ht="5.0999999999999996" customHeight="1" thickBot="1">
      <c r="A80" s="102"/>
      <c r="B80" s="103"/>
      <c r="C80" s="113"/>
      <c r="D80" s="103"/>
      <c r="E80" s="103"/>
      <c r="F80" s="103"/>
      <c r="G80" s="113"/>
      <c r="H80" s="103"/>
      <c r="I80" s="103"/>
      <c r="J80" s="103"/>
      <c r="K80" s="113"/>
      <c r="L80" s="103"/>
      <c r="M80" s="103"/>
      <c r="N80" s="103"/>
      <c r="O80" s="103"/>
      <c r="P80" s="103"/>
      <c r="Q80" s="103"/>
      <c r="R80" s="232"/>
      <c r="S80" s="103"/>
      <c r="T80" s="400"/>
      <c r="U80" s="113"/>
      <c r="V80" s="400"/>
      <c r="W80" s="400"/>
      <c r="X80" s="400"/>
      <c r="Y80" s="400"/>
      <c r="Z80" s="400"/>
      <c r="AA80" s="103"/>
      <c r="AB80" s="103"/>
      <c r="AC80" s="103"/>
      <c r="AD80" s="113"/>
      <c r="AE80" s="104"/>
    </row>
    <row r="81" spans="1:31" ht="3.75" customHeight="1">
      <c r="A81" s="556">
        <f>A76+1</f>
        <v>15</v>
      </c>
      <c r="B81" s="208">
        <f>B76+10</f>
        <v>150</v>
      </c>
      <c r="C81" s="508"/>
      <c r="D81" s="54"/>
      <c r="E81" s="54"/>
      <c r="F81" s="54"/>
      <c r="G81" s="508"/>
      <c r="H81" s="54"/>
      <c r="I81" s="54"/>
      <c r="J81" s="54"/>
      <c r="K81" s="508"/>
      <c r="L81" s="54"/>
      <c r="M81" s="54"/>
      <c r="N81" s="54"/>
      <c r="O81" s="54"/>
      <c r="P81" s="54"/>
      <c r="Q81" s="54"/>
      <c r="R81" s="203"/>
      <c r="S81" s="54"/>
      <c r="T81" s="399"/>
      <c r="U81" s="508"/>
      <c r="V81" s="399"/>
      <c r="W81" s="399"/>
      <c r="X81" s="399"/>
      <c r="Y81" s="399"/>
      <c r="Z81" s="399"/>
      <c r="AA81" s="54"/>
      <c r="AB81" s="54"/>
      <c r="AC81" s="54"/>
      <c r="AD81" s="508"/>
      <c r="AE81" s="63"/>
    </row>
    <row r="82" spans="1:31" ht="29.1">
      <c r="A82" s="557"/>
      <c r="B82" s="209">
        <f>B77+10</f>
        <v>151</v>
      </c>
      <c r="C82" s="809"/>
      <c r="D82" s="3"/>
      <c r="E82" s="9"/>
      <c r="F82" s="3"/>
      <c r="G82" s="809"/>
      <c r="H82" s="3"/>
      <c r="I82" s="814"/>
      <c r="J82" s="3"/>
      <c r="K82" s="809"/>
      <c r="L82" s="3"/>
      <c r="M82" s="56" t="b">
        <v>0</v>
      </c>
      <c r="N82" t="s">
        <v>370</v>
      </c>
      <c r="O82" s="3"/>
      <c r="P82" s="3" t="s">
        <v>371</v>
      </c>
      <c r="Q82" s="3"/>
      <c r="R82" s="194"/>
      <c r="S82" s="3"/>
      <c r="T82" s="401"/>
      <c r="U82" s="517"/>
      <c r="V82" s="118"/>
      <c r="W82" s="526"/>
      <c r="X82" s="526"/>
      <c r="Y82" s="526"/>
      <c r="Z82" s="526"/>
      <c r="AA82" s="3"/>
      <c r="AB82" s="40" t="b">
        <v>0</v>
      </c>
      <c r="AC82" s="8" t="s">
        <v>372</v>
      </c>
      <c r="AD82" s="118" t="s">
        <v>140</v>
      </c>
      <c r="AE82" s="58"/>
    </row>
    <row r="83" spans="1:31" ht="29.1">
      <c r="A83" s="557"/>
      <c r="B83" s="209">
        <f>B82+1</f>
        <v>152</v>
      </c>
      <c r="C83" s="548"/>
      <c r="G83" s="548"/>
      <c r="I83" s="815"/>
      <c r="K83" s="548"/>
      <c r="M83" s="238" t="b">
        <v>0</v>
      </c>
      <c r="N83" s="22" t="s">
        <v>373</v>
      </c>
      <c r="O83" s="22"/>
      <c r="P83" s="22" t="s">
        <v>374</v>
      </c>
      <c r="T83" s="401"/>
      <c r="U83" s="509"/>
      <c r="V83" s="118"/>
      <c r="W83" s="394"/>
      <c r="X83" s="526"/>
      <c r="Y83" s="394"/>
      <c r="Z83" s="526"/>
      <c r="AB83" s="40" t="b">
        <v>0</v>
      </c>
      <c r="AC83" s="8" t="s">
        <v>375</v>
      </c>
      <c r="AD83" s="526"/>
      <c r="AE83" s="93"/>
    </row>
    <row r="84" spans="1:31" ht="15" thickBot="1">
      <c r="A84" s="557"/>
      <c r="B84" s="209">
        <f>B83+1</f>
        <v>153</v>
      </c>
      <c r="C84" s="549"/>
      <c r="G84" s="548"/>
      <c r="K84" s="548"/>
      <c r="M84" s="56" t="b">
        <v>0</v>
      </c>
      <c r="N84" t="s">
        <v>376</v>
      </c>
      <c r="P84" t="s">
        <v>377</v>
      </c>
      <c r="T84" s="401"/>
      <c r="U84" s="509"/>
      <c r="V84" s="118"/>
      <c r="W84" s="394"/>
      <c r="X84" s="526"/>
      <c r="Y84" s="394"/>
      <c r="Z84" s="526"/>
      <c r="AD84" s="510"/>
      <c r="AE84" s="58"/>
    </row>
    <row r="85" spans="1:31" ht="5.0999999999999996" customHeight="1" thickBot="1">
      <c r="A85" s="102"/>
      <c r="B85" s="103"/>
      <c r="C85" s="113"/>
      <c r="D85" s="103"/>
      <c r="E85" s="103"/>
      <c r="F85" s="103"/>
      <c r="G85" s="113"/>
      <c r="H85" s="103"/>
      <c r="I85" s="103"/>
      <c r="J85" s="103"/>
      <c r="K85" s="113"/>
      <c r="L85" s="103"/>
      <c r="M85" s="103"/>
      <c r="N85" s="103"/>
      <c r="O85" s="103"/>
      <c r="P85" s="103"/>
      <c r="Q85" s="103"/>
      <c r="R85" s="232"/>
      <c r="S85" s="103"/>
      <c r="T85" s="400"/>
      <c r="U85" s="113"/>
      <c r="V85" s="400"/>
      <c r="W85" s="400"/>
      <c r="X85" s="400"/>
      <c r="Y85" s="400"/>
      <c r="Z85" s="400"/>
      <c r="AA85" s="103"/>
      <c r="AB85" s="103"/>
      <c r="AC85" s="103"/>
      <c r="AD85" s="113"/>
      <c r="AE85" s="104"/>
    </row>
    <row r="86" spans="1:31" ht="3.75" customHeight="1">
      <c r="A86" s="556">
        <f>A81+1</f>
        <v>16</v>
      </c>
      <c r="B86" s="208">
        <f>B81+10</f>
        <v>160</v>
      </c>
      <c r="C86" s="508"/>
      <c r="D86" s="54"/>
      <c r="E86" s="54"/>
      <c r="F86" s="54"/>
      <c r="G86" s="508"/>
      <c r="H86" s="54"/>
      <c r="I86" s="54"/>
      <c r="J86" s="54"/>
      <c r="K86" s="508"/>
      <c r="L86" s="54"/>
      <c r="M86" s="54"/>
      <c r="N86" s="54"/>
      <c r="O86" s="54"/>
      <c r="P86" s="54"/>
      <c r="Q86" s="54"/>
      <c r="R86" s="203"/>
      <c r="S86" s="54"/>
      <c r="T86" s="399"/>
      <c r="U86" s="508"/>
      <c r="V86" s="399"/>
      <c r="W86" s="399"/>
      <c r="X86" s="399"/>
      <c r="Y86" s="399"/>
      <c r="Z86" s="399"/>
      <c r="AA86" s="54"/>
      <c r="AB86" s="54"/>
      <c r="AC86" s="54"/>
      <c r="AD86" s="508"/>
      <c r="AE86" s="63"/>
    </row>
    <row r="87" spans="1:31" ht="29.1">
      <c r="A87" s="557"/>
      <c r="B87" s="209">
        <f>B82+10</f>
        <v>161</v>
      </c>
      <c r="C87" s="809"/>
      <c r="D87" s="3"/>
      <c r="E87" s="9"/>
      <c r="F87" s="3"/>
      <c r="G87" s="809"/>
      <c r="H87" s="3"/>
      <c r="I87" s="814"/>
      <c r="J87" s="3"/>
      <c r="K87" s="809"/>
      <c r="L87" s="3"/>
      <c r="M87" s="56" t="b">
        <v>0</v>
      </c>
      <c r="N87" t="s">
        <v>370</v>
      </c>
      <c r="O87" s="3"/>
      <c r="P87" s="3" t="s">
        <v>371</v>
      </c>
      <c r="Q87" s="3"/>
      <c r="R87" s="194"/>
      <c r="S87" s="3"/>
      <c r="T87" s="401"/>
      <c r="U87" s="517"/>
      <c r="V87" s="118"/>
      <c r="W87" s="526"/>
      <c r="X87" s="526"/>
      <c r="Y87" s="526"/>
      <c r="Z87" s="526"/>
      <c r="AA87" s="3"/>
      <c r="AB87" s="40" t="b">
        <v>0</v>
      </c>
      <c r="AC87" s="8" t="s">
        <v>372</v>
      </c>
      <c r="AD87" s="118" t="s">
        <v>140</v>
      </c>
      <c r="AE87" s="58"/>
    </row>
    <row r="88" spans="1:31" ht="29.1">
      <c r="A88" s="557"/>
      <c r="B88" s="209">
        <f>B87+1</f>
        <v>162</v>
      </c>
      <c r="C88" s="548"/>
      <c r="G88" s="548"/>
      <c r="I88" s="815"/>
      <c r="K88" s="548"/>
      <c r="M88" s="238" t="b">
        <v>0</v>
      </c>
      <c r="N88" s="22" t="s">
        <v>373</v>
      </c>
      <c r="O88" s="22"/>
      <c r="P88" s="22" t="s">
        <v>374</v>
      </c>
      <c r="T88" s="401"/>
      <c r="U88" s="509"/>
      <c r="V88" s="118"/>
      <c r="W88" s="394"/>
      <c r="X88" s="526"/>
      <c r="Y88" s="394"/>
      <c r="Z88" s="526"/>
      <c r="AB88" s="40" t="b">
        <v>0</v>
      </c>
      <c r="AC88" s="8" t="s">
        <v>375</v>
      </c>
      <c r="AD88" s="526"/>
      <c r="AE88" s="93"/>
    </row>
    <row r="89" spans="1:31" ht="15" thickBot="1">
      <c r="A89" s="557"/>
      <c r="B89" s="209">
        <f>B88+1</f>
        <v>163</v>
      </c>
      <c r="C89" s="549"/>
      <c r="G89" s="548"/>
      <c r="K89" s="548"/>
      <c r="M89" s="56" t="b">
        <v>0</v>
      </c>
      <c r="N89" t="s">
        <v>376</v>
      </c>
      <c r="P89" t="s">
        <v>377</v>
      </c>
      <c r="T89" s="401"/>
      <c r="U89" s="509"/>
      <c r="V89" s="118"/>
      <c r="W89" s="394"/>
      <c r="X89" s="526"/>
      <c r="Y89" s="394"/>
      <c r="Z89" s="526"/>
      <c r="AD89" s="510"/>
      <c r="AE89" s="58"/>
    </row>
    <row r="90" spans="1:31" ht="5.0999999999999996" customHeight="1" thickBot="1">
      <c r="A90" s="102"/>
      <c r="B90" s="103"/>
      <c r="C90" s="113"/>
      <c r="D90" s="103"/>
      <c r="E90" s="103"/>
      <c r="F90" s="103"/>
      <c r="G90" s="113"/>
      <c r="H90" s="103"/>
      <c r="I90" s="103"/>
      <c r="J90" s="103"/>
      <c r="K90" s="113"/>
      <c r="L90" s="103"/>
      <c r="M90" s="103"/>
      <c r="N90" s="103"/>
      <c r="O90" s="103"/>
      <c r="P90" s="103"/>
      <c r="Q90" s="103"/>
      <c r="R90" s="232"/>
      <c r="S90" s="103"/>
      <c r="T90" s="400"/>
      <c r="U90" s="113"/>
      <c r="V90" s="400"/>
      <c r="W90" s="400"/>
      <c r="X90" s="400"/>
      <c r="Y90" s="400"/>
      <c r="Z90" s="400"/>
      <c r="AA90" s="103"/>
      <c r="AB90" s="103"/>
      <c r="AC90" s="103"/>
      <c r="AD90" s="113"/>
      <c r="AE90" s="104"/>
    </row>
    <row r="91" spans="1:31" ht="3.75" customHeight="1">
      <c r="A91" s="556">
        <f>A86+1</f>
        <v>17</v>
      </c>
      <c r="B91" s="208">
        <f>B86+10</f>
        <v>170</v>
      </c>
      <c r="C91" s="508"/>
      <c r="D91" s="54"/>
      <c r="E91" s="54"/>
      <c r="F91" s="54"/>
      <c r="G91" s="508"/>
      <c r="H91" s="54"/>
      <c r="I91" s="54"/>
      <c r="J91" s="54"/>
      <c r="K91" s="508"/>
      <c r="L91" s="54"/>
      <c r="M91" s="54"/>
      <c r="N91" s="54"/>
      <c r="O91" s="54"/>
      <c r="P91" s="54"/>
      <c r="Q91" s="54"/>
      <c r="R91" s="203"/>
      <c r="S91" s="54"/>
      <c r="T91" s="399"/>
      <c r="U91" s="508"/>
      <c r="V91" s="399"/>
      <c r="W91" s="399"/>
      <c r="X91" s="399"/>
      <c r="Y91" s="399"/>
      <c r="Z91" s="399"/>
      <c r="AA91" s="54"/>
      <c r="AB91" s="54"/>
      <c r="AC91" s="54"/>
      <c r="AD91" s="508"/>
      <c r="AE91" s="63"/>
    </row>
    <row r="92" spans="1:31" ht="29.1">
      <c r="A92" s="557"/>
      <c r="B92" s="209">
        <f>B87+10</f>
        <v>171</v>
      </c>
      <c r="C92" s="809"/>
      <c r="D92" s="3"/>
      <c r="E92" s="9"/>
      <c r="F92" s="3"/>
      <c r="G92" s="809"/>
      <c r="H92" s="3"/>
      <c r="I92" s="814"/>
      <c r="J92" s="3"/>
      <c r="K92" s="809"/>
      <c r="L92" s="3"/>
      <c r="M92" s="56" t="b">
        <v>0</v>
      </c>
      <c r="N92" t="s">
        <v>370</v>
      </c>
      <c r="O92" s="3"/>
      <c r="P92" s="3" t="s">
        <v>371</v>
      </c>
      <c r="Q92" s="3"/>
      <c r="R92" s="194"/>
      <c r="S92" s="3"/>
      <c r="T92" s="401"/>
      <c r="U92" s="517"/>
      <c r="V92" s="118"/>
      <c r="W92" s="526"/>
      <c r="X92" s="526"/>
      <c r="Y92" s="526"/>
      <c r="Z92" s="526"/>
      <c r="AA92" s="3"/>
      <c r="AB92" s="40" t="b">
        <v>0</v>
      </c>
      <c r="AC92" s="8" t="s">
        <v>372</v>
      </c>
      <c r="AD92" s="118" t="s">
        <v>140</v>
      </c>
      <c r="AE92" s="58"/>
    </row>
    <row r="93" spans="1:31" ht="29.1">
      <c r="A93" s="557"/>
      <c r="B93" s="209">
        <f>B92+1</f>
        <v>172</v>
      </c>
      <c r="C93" s="548"/>
      <c r="G93" s="548"/>
      <c r="I93" s="815"/>
      <c r="K93" s="548"/>
      <c r="M93" s="238" t="b">
        <v>0</v>
      </c>
      <c r="N93" s="22" t="s">
        <v>373</v>
      </c>
      <c r="O93" s="22"/>
      <c r="P93" s="22" t="s">
        <v>374</v>
      </c>
      <c r="T93" s="401"/>
      <c r="U93" s="509"/>
      <c r="V93" s="118"/>
      <c r="W93" s="394"/>
      <c r="X93" s="526"/>
      <c r="Y93" s="394"/>
      <c r="Z93" s="526"/>
      <c r="AB93" s="40" t="b">
        <v>0</v>
      </c>
      <c r="AC93" s="8" t="s">
        <v>375</v>
      </c>
      <c r="AD93" s="526"/>
      <c r="AE93" s="93"/>
    </row>
    <row r="94" spans="1:31" ht="15" thickBot="1">
      <c r="A94" s="557"/>
      <c r="B94" s="209">
        <f>B93+1</f>
        <v>173</v>
      </c>
      <c r="C94" s="549"/>
      <c r="G94" s="548"/>
      <c r="K94" s="548"/>
      <c r="M94" s="56" t="b">
        <v>0</v>
      </c>
      <c r="N94" t="s">
        <v>376</v>
      </c>
      <c r="P94" t="s">
        <v>377</v>
      </c>
      <c r="T94" s="401"/>
      <c r="U94" s="509"/>
      <c r="V94" s="118"/>
      <c r="W94" s="394"/>
      <c r="X94" s="526"/>
      <c r="Y94" s="394"/>
      <c r="Z94" s="526"/>
      <c r="AD94" s="510"/>
      <c r="AE94" s="58"/>
    </row>
    <row r="95" spans="1:31" ht="5.0999999999999996" customHeight="1" thickBot="1">
      <c r="A95" s="102"/>
      <c r="B95" s="103"/>
      <c r="C95" s="113"/>
      <c r="D95" s="103"/>
      <c r="E95" s="103"/>
      <c r="F95" s="103"/>
      <c r="G95" s="113"/>
      <c r="H95" s="103"/>
      <c r="I95" s="103"/>
      <c r="J95" s="103"/>
      <c r="K95" s="113"/>
      <c r="L95" s="103"/>
      <c r="M95" s="103"/>
      <c r="N95" s="103"/>
      <c r="O95" s="103"/>
      <c r="P95" s="103"/>
      <c r="Q95" s="103"/>
      <c r="R95" s="232"/>
      <c r="S95" s="103"/>
      <c r="T95" s="400"/>
      <c r="U95" s="113"/>
      <c r="V95" s="400"/>
      <c r="W95" s="400"/>
      <c r="X95" s="400"/>
      <c r="Y95" s="400"/>
      <c r="Z95" s="400"/>
      <c r="AA95" s="103"/>
      <c r="AB95" s="103"/>
      <c r="AC95" s="103"/>
      <c r="AD95" s="113"/>
      <c r="AE95" s="104"/>
    </row>
    <row r="96" spans="1:31" ht="3.75" customHeight="1">
      <c r="A96" s="556">
        <f>A91+1</f>
        <v>18</v>
      </c>
      <c r="B96" s="208">
        <f>B91+10</f>
        <v>180</v>
      </c>
      <c r="C96" s="508"/>
      <c r="D96" s="54"/>
      <c r="E96" s="54"/>
      <c r="F96" s="54"/>
      <c r="G96" s="508"/>
      <c r="H96" s="54"/>
      <c r="I96" s="54"/>
      <c r="J96" s="54"/>
      <c r="K96" s="508"/>
      <c r="L96" s="54"/>
      <c r="M96" s="54"/>
      <c r="N96" s="54"/>
      <c r="O96" s="54"/>
      <c r="P96" s="54"/>
      <c r="Q96" s="54"/>
      <c r="R96" s="203"/>
      <c r="S96" s="54"/>
      <c r="T96" s="399"/>
      <c r="U96" s="508"/>
      <c r="V96" s="399"/>
      <c r="W96" s="399"/>
      <c r="X96" s="399"/>
      <c r="Y96" s="399"/>
      <c r="Z96" s="399"/>
      <c r="AA96" s="54"/>
      <c r="AB96" s="54"/>
      <c r="AC96" s="54"/>
      <c r="AD96" s="508"/>
      <c r="AE96" s="63"/>
    </row>
    <row r="97" spans="1:31" ht="29.1">
      <c r="A97" s="557"/>
      <c r="B97" s="209">
        <f>B92+10</f>
        <v>181</v>
      </c>
      <c r="C97" s="809"/>
      <c r="D97" s="3"/>
      <c r="E97" s="9"/>
      <c r="F97" s="3"/>
      <c r="G97" s="809"/>
      <c r="H97" s="3"/>
      <c r="I97" s="814"/>
      <c r="J97" s="3"/>
      <c r="K97" s="809"/>
      <c r="L97" s="3"/>
      <c r="M97" s="56" t="b">
        <v>0</v>
      </c>
      <c r="N97" t="s">
        <v>370</v>
      </c>
      <c r="O97" s="3"/>
      <c r="P97" s="3" t="s">
        <v>371</v>
      </c>
      <c r="Q97" s="3"/>
      <c r="R97" s="194"/>
      <c r="S97" s="3"/>
      <c r="T97" s="401"/>
      <c r="U97" s="517"/>
      <c r="V97" s="118"/>
      <c r="W97" s="526"/>
      <c r="X97" s="526"/>
      <c r="Y97" s="526"/>
      <c r="Z97" s="526"/>
      <c r="AA97" s="3"/>
      <c r="AB97" s="40" t="b">
        <v>0</v>
      </c>
      <c r="AC97" s="8" t="s">
        <v>372</v>
      </c>
      <c r="AD97" s="118" t="s">
        <v>140</v>
      </c>
      <c r="AE97" s="58"/>
    </row>
    <row r="98" spans="1:31" ht="29.1">
      <c r="A98" s="557"/>
      <c r="B98" s="209">
        <f>B97+1</f>
        <v>182</v>
      </c>
      <c r="C98" s="548"/>
      <c r="G98" s="548"/>
      <c r="I98" s="815"/>
      <c r="K98" s="548"/>
      <c r="M98" s="238" t="b">
        <v>0</v>
      </c>
      <c r="N98" s="22" t="s">
        <v>373</v>
      </c>
      <c r="O98" s="22"/>
      <c r="P98" s="22" t="s">
        <v>374</v>
      </c>
      <c r="T98" s="401"/>
      <c r="U98" s="509"/>
      <c r="V98" s="118"/>
      <c r="W98" s="394"/>
      <c r="X98" s="526"/>
      <c r="Y98" s="394"/>
      <c r="Z98" s="526"/>
      <c r="AB98" s="40" t="b">
        <v>0</v>
      </c>
      <c r="AC98" s="8" t="s">
        <v>375</v>
      </c>
      <c r="AD98" s="526"/>
      <c r="AE98" s="93"/>
    </row>
    <row r="99" spans="1:31" ht="15" thickBot="1">
      <c r="A99" s="557"/>
      <c r="B99" s="209">
        <f>B98+1</f>
        <v>183</v>
      </c>
      <c r="C99" s="549"/>
      <c r="G99" s="548"/>
      <c r="K99" s="548"/>
      <c r="M99" s="56" t="b">
        <v>0</v>
      </c>
      <c r="N99" t="s">
        <v>376</v>
      </c>
      <c r="P99" t="s">
        <v>377</v>
      </c>
      <c r="T99" s="401"/>
      <c r="U99" s="509"/>
      <c r="V99" s="118"/>
      <c r="W99" s="394"/>
      <c r="X99" s="526"/>
      <c r="Y99" s="394"/>
      <c r="Z99" s="526"/>
      <c r="AD99" s="510"/>
      <c r="AE99" s="58"/>
    </row>
    <row r="100" spans="1:31" ht="5.0999999999999996" customHeight="1" thickBot="1">
      <c r="A100" s="102"/>
      <c r="B100" s="103"/>
      <c r="C100" s="113"/>
      <c r="D100" s="103"/>
      <c r="E100" s="103"/>
      <c r="F100" s="103"/>
      <c r="G100" s="113"/>
      <c r="H100" s="103"/>
      <c r="I100" s="103"/>
      <c r="J100" s="103"/>
      <c r="K100" s="113"/>
      <c r="L100" s="103"/>
      <c r="M100" s="103"/>
      <c r="N100" s="103"/>
      <c r="O100" s="103"/>
      <c r="P100" s="103"/>
      <c r="Q100" s="103"/>
      <c r="R100" s="232"/>
      <c r="S100" s="103"/>
      <c r="T100" s="400"/>
      <c r="U100" s="113"/>
      <c r="V100" s="400"/>
      <c r="W100" s="400"/>
      <c r="X100" s="400"/>
      <c r="Y100" s="400"/>
      <c r="Z100" s="400"/>
      <c r="AA100" s="103"/>
      <c r="AB100" s="103"/>
      <c r="AC100" s="103"/>
      <c r="AD100" s="113"/>
      <c r="AE100" s="104"/>
    </row>
    <row r="101" spans="1:31" ht="4.5" customHeight="1">
      <c r="A101" s="556">
        <f>A96+1</f>
        <v>19</v>
      </c>
      <c r="B101" s="208">
        <f>B96+10</f>
        <v>190</v>
      </c>
      <c r="C101" s="508"/>
      <c r="D101" s="54"/>
      <c r="E101" s="54"/>
      <c r="F101" s="54"/>
      <c r="G101" s="508"/>
      <c r="H101" s="54"/>
      <c r="I101" s="54"/>
      <c r="J101" s="54"/>
      <c r="K101" s="508"/>
      <c r="L101" s="54"/>
      <c r="M101" s="54"/>
      <c r="N101" s="54"/>
      <c r="O101" s="54"/>
      <c r="P101" s="54"/>
      <c r="Q101" s="54"/>
      <c r="R101" s="203"/>
      <c r="S101" s="54"/>
      <c r="T101" s="399"/>
      <c r="U101" s="508"/>
      <c r="V101" s="399"/>
      <c r="W101" s="399"/>
      <c r="X101" s="399"/>
      <c r="Y101" s="399"/>
      <c r="Z101" s="399"/>
      <c r="AA101" s="54"/>
      <c r="AB101" s="54"/>
      <c r="AC101" s="54"/>
      <c r="AD101" s="508"/>
      <c r="AE101" s="63"/>
    </row>
    <row r="102" spans="1:31" ht="29.1">
      <c r="A102" s="557"/>
      <c r="B102" s="209">
        <f>B97+10</f>
        <v>191</v>
      </c>
      <c r="C102" s="809"/>
      <c r="D102" s="3"/>
      <c r="E102" s="9"/>
      <c r="F102" s="3"/>
      <c r="G102" s="809"/>
      <c r="H102" s="3"/>
      <c r="I102" s="814"/>
      <c r="J102" s="3"/>
      <c r="K102" s="809"/>
      <c r="L102" s="3"/>
      <c r="M102" s="56" t="b">
        <v>0</v>
      </c>
      <c r="N102" t="s">
        <v>370</v>
      </c>
      <c r="O102" s="3"/>
      <c r="P102" s="3" t="s">
        <v>371</v>
      </c>
      <c r="Q102" s="3"/>
      <c r="R102" s="194"/>
      <c r="S102" s="3"/>
      <c r="T102" s="401"/>
      <c r="U102" s="517"/>
      <c r="V102" s="118"/>
      <c r="W102" s="526"/>
      <c r="X102" s="526"/>
      <c r="Y102" s="526"/>
      <c r="Z102" s="526"/>
      <c r="AA102" s="3"/>
      <c r="AB102" s="40" t="b">
        <v>0</v>
      </c>
      <c r="AC102" s="8" t="s">
        <v>372</v>
      </c>
      <c r="AD102" s="118" t="s">
        <v>140</v>
      </c>
      <c r="AE102" s="58"/>
    </row>
    <row r="103" spans="1:31" ht="29.1">
      <c r="A103" s="557"/>
      <c r="B103" s="209">
        <f>B102+1</f>
        <v>192</v>
      </c>
      <c r="C103" s="548"/>
      <c r="G103" s="548"/>
      <c r="I103" s="815"/>
      <c r="K103" s="548"/>
      <c r="M103" s="238" t="b">
        <v>0</v>
      </c>
      <c r="N103" s="22" t="s">
        <v>373</v>
      </c>
      <c r="O103" s="22"/>
      <c r="P103" s="22" t="s">
        <v>374</v>
      </c>
      <c r="T103" s="401"/>
      <c r="U103" s="509"/>
      <c r="V103" s="118"/>
      <c r="W103" s="394"/>
      <c r="X103" s="526"/>
      <c r="Y103" s="394"/>
      <c r="Z103" s="526"/>
      <c r="AB103" s="40" t="b">
        <v>0</v>
      </c>
      <c r="AC103" s="8" t="s">
        <v>375</v>
      </c>
      <c r="AD103" s="526"/>
      <c r="AE103" s="93"/>
    </row>
    <row r="104" spans="1:31" ht="15" thickBot="1">
      <c r="A104" s="557"/>
      <c r="B104" s="209">
        <f>B103+1</f>
        <v>193</v>
      </c>
      <c r="C104" s="549"/>
      <c r="G104" s="548"/>
      <c r="K104" s="548"/>
      <c r="M104" s="56" t="b">
        <v>0</v>
      </c>
      <c r="N104" t="s">
        <v>376</v>
      </c>
      <c r="P104" t="s">
        <v>377</v>
      </c>
      <c r="T104" s="401"/>
      <c r="U104" s="509"/>
      <c r="V104" s="118"/>
      <c r="W104" s="394"/>
      <c r="X104" s="526"/>
      <c r="Y104" s="394"/>
      <c r="Z104" s="526"/>
      <c r="AD104" s="510"/>
      <c r="AE104" s="58"/>
    </row>
    <row r="105" spans="1:31" ht="5.0999999999999996" customHeight="1" thickBot="1">
      <c r="A105" s="102"/>
      <c r="B105" s="103"/>
      <c r="C105" s="113"/>
      <c r="D105" s="103"/>
      <c r="E105" s="103"/>
      <c r="F105" s="103"/>
      <c r="G105" s="113"/>
      <c r="H105" s="103"/>
      <c r="I105" s="103"/>
      <c r="J105" s="103"/>
      <c r="K105" s="113"/>
      <c r="L105" s="103"/>
      <c r="M105" s="103"/>
      <c r="N105" s="103"/>
      <c r="O105" s="103"/>
      <c r="P105" s="103"/>
      <c r="Q105" s="103"/>
      <c r="R105" s="232"/>
      <c r="S105" s="103"/>
      <c r="T105" s="400"/>
      <c r="U105" s="113"/>
      <c r="V105" s="400"/>
      <c r="W105" s="400"/>
      <c r="X105" s="400"/>
      <c r="Y105" s="400"/>
      <c r="Z105" s="400"/>
      <c r="AA105" s="103"/>
      <c r="AB105" s="103"/>
      <c r="AC105" s="103"/>
      <c r="AD105" s="113"/>
      <c r="AE105" s="104"/>
    </row>
    <row r="106" spans="1:31" ht="5.25" customHeight="1">
      <c r="A106" s="556">
        <f>A101+1</f>
        <v>20</v>
      </c>
      <c r="B106" s="208">
        <f>B101+10</f>
        <v>200</v>
      </c>
      <c r="C106" s="508"/>
      <c r="D106" s="54"/>
      <c r="E106" s="54"/>
      <c r="F106" s="54"/>
      <c r="G106" s="508"/>
      <c r="H106" s="54"/>
      <c r="I106" s="3" t="s">
        <v>379</v>
      </c>
      <c r="J106" s="54"/>
      <c r="K106" s="508"/>
      <c r="L106" s="54"/>
      <c r="M106" s="54"/>
      <c r="N106" s="54"/>
      <c r="O106" s="54"/>
      <c r="P106" s="54"/>
      <c r="Q106" s="54"/>
      <c r="R106" s="203"/>
      <c r="S106" s="54"/>
      <c r="T106" s="399"/>
      <c r="U106" s="508"/>
      <c r="V106" s="399"/>
      <c r="W106" s="399"/>
      <c r="X106" s="399"/>
      <c r="Y106" s="399"/>
      <c r="Z106" s="399"/>
      <c r="AA106" s="54"/>
      <c r="AB106" s="54"/>
      <c r="AC106" s="54"/>
      <c r="AD106" s="508"/>
      <c r="AE106" s="63"/>
    </row>
    <row r="107" spans="1:31" ht="29.1">
      <c r="A107" s="557"/>
      <c r="B107" s="209">
        <f>B102+10</f>
        <v>201</v>
      </c>
      <c r="C107" s="809"/>
      <c r="D107" s="3"/>
      <c r="E107" s="9"/>
      <c r="F107" s="3"/>
      <c r="G107" s="809"/>
      <c r="H107" s="3"/>
      <c r="I107" s="814"/>
      <c r="J107" s="3"/>
      <c r="K107" s="809"/>
      <c r="L107" s="3"/>
      <c r="M107" s="56" t="b">
        <v>0</v>
      </c>
      <c r="N107" t="s">
        <v>370</v>
      </c>
      <c r="O107" s="3"/>
      <c r="P107" s="3" t="s">
        <v>371</v>
      </c>
      <c r="Q107" s="3"/>
      <c r="R107" s="194"/>
      <c r="S107" s="3"/>
      <c r="T107" s="401"/>
      <c r="U107" s="517"/>
      <c r="V107" s="118"/>
      <c r="W107" s="526"/>
      <c r="X107" s="526"/>
      <c r="Y107" s="526"/>
      <c r="Z107" s="526"/>
      <c r="AA107" s="3"/>
      <c r="AB107" s="40" t="b">
        <v>0</v>
      </c>
      <c r="AC107" s="8" t="s">
        <v>372</v>
      </c>
      <c r="AD107" s="118" t="s">
        <v>140</v>
      </c>
      <c r="AE107" s="58"/>
    </row>
    <row r="108" spans="1:31" ht="29.1">
      <c r="A108" s="557"/>
      <c r="B108" s="209">
        <f>B107+1</f>
        <v>202</v>
      </c>
      <c r="C108" s="548"/>
      <c r="G108" s="548"/>
      <c r="I108" s="815"/>
      <c r="K108" s="548"/>
      <c r="M108" s="238" t="b">
        <v>0</v>
      </c>
      <c r="N108" s="22" t="s">
        <v>373</v>
      </c>
      <c r="O108" s="22"/>
      <c r="P108" s="22" t="s">
        <v>374</v>
      </c>
      <c r="T108" s="401"/>
      <c r="U108" s="509"/>
      <c r="V108" s="118"/>
      <c r="W108" s="394"/>
      <c r="X108" s="526"/>
      <c r="Y108" s="394"/>
      <c r="Z108" s="526"/>
      <c r="AB108" s="40" t="b">
        <v>0</v>
      </c>
      <c r="AC108" s="8" t="s">
        <v>375</v>
      </c>
      <c r="AD108" s="526"/>
      <c r="AE108" s="93"/>
    </row>
    <row r="109" spans="1:31" ht="15" thickBot="1">
      <c r="A109" s="557"/>
      <c r="B109" s="209">
        <f>B108+1</f>
        <v>203</v>
      </c>
      <c r="C109" s="549"/>
      <c r="G109" s="548"/>
      <c r="K109" s="548"/>
      <c r="M109" s="56" t="b">
        <v>0</v>
      </c>
      <c r="N109" t="s">
        <v>376</v>
      </c>
      <c r="P109" t="s">
        <v>377</v>
      </c>
      <c r="T109" s="401"/>
      <c r="U109" s="509"/>
      <c r="V109" s="118"/>
      <c r="W109" s="394"/>
      <c r="X109" s="526"/>
      <c r="Y109" s="394"/>
      <c r="Z109" s="526"/>
      <c r="AD109" s="510"/>
      <c r="AE109" s="58"/>
    </row>
    <row r="110" spans="1:31" ht="5.0999999999999996" customHeight="1" thickBot="1">
      <c r="A110" s="102"/>
      <c r="B110" s="103"/>
      <c r="C110" s="103"/>
      <c r="D110" s="103"/>
      <c r="E110" s="103"/>
      <c r="F110" s="103"/>
      <c r="G110" s="103"/>
      <c r="H110" s="103"/>
      <c r="I110" s="103"/>
      <c r="J110" s="103"/>
      <c r="K110" s="103"/>
      <c r="L110" s="103"/>
      <c r="M110" s="103"/>
      <c r="N110" s="103"/>
      <c r="O110" s="103"/>
      <c r="P110" s="103"/>
      <c r="Q110" s="103"/>
      <c r="R110" s="232"/>
      <c r="S110" s="103"/>
      <c r="T110" s="103"/>
      <c r="U110" s="103"/>
      <c r="V110" s="235"/>
      <c r="W110" s="235"/>
      <c r="X110" s="235"/>
      <c r="Y110" s="235"/>
      <c r="Z110" s="235"/>
      <c r="AA110" s="103"/>
      <c r="AB110" s="103"/>
      <c r="AC110" s="103"/>
      <c r="AD110" s="103"/>
      <c r="AE110" s="104"/>
    </row>
    <row r="111" spans="1:31">
      <c r="A111"/>
      <c r="B111"/>
    </row>
    <row r="112" spans="1:31">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6" priority="85">
      <formula>$T$1&gt;0</formula>
    </cfRule>
  </conditionalFormatting>
  <conditionalFormatting sqref="T9">
    <cfRule type="expression" dxfId="485" priority="584">
      <formula>$T$1&gt;0</formula>
    </cfRule>
  </conditionalFormatting>
  <conditionalFormatting sqref="AB2">
    <cfRule type="expression" dxfId="484" priority="601">
      <formula>OR(M12,M17,M22,M27,M32,M37,M42,M47,M52,M57,M62,M67,M72,M77,M82,M87,M92,M97,M102,M107)=TRUE</formula>
    </cfRule>
  </conditionalFormatting>
  <conditionalFormatting sqref="AB12">
    <cfRule type="expression" dxfId="483" priority="301">
      <formula>M12=TRUE</formula>
    </cfRule>
  </conditionalFormatting>
  <conditionalFormatting sqref="AB13">
    <cfRule type="expression" dxfId="482" priority="300">
      <formula>M12=TRUE</formula>
    </cfRule>
  </conditionalFormatting>
  <conditionalFormatting sqref="AB17">
    <cfRule type="expression" dxfId="481" priority="290">
      <formula>M17=TRUE</formula>
    </cfRule>
  </conditionalFormatting>
  <conditionalFormatting sqref="AB18">
    <cfRule type="expression" dxfId="480" priority="289">
      <formula>M17=TRUE</formula>
    </cfRule>
  </conditionalFormatting>
  <conditionalFormatting sqref="AB22">
    <cfRule type="expression" dxfId="479" priority="279">
      <formula>M22=TRUE</formula>
    </cfRule>
  </conditionalFormatting>
  <conditionalFormatting sqref="AB23">
    <cfRule type="expression" dxfId="478" priority="278">
      <formula>M22=TRUE</formula>
    </cfRule>
  </conditionalFormatting>
  <conditionalFormatting sqref="AB27">
    <cfRule type="expression" dxfId="477" priority="268">
      <formula>M27=TRUE</formula>
    </cfRule>
  </conditionalFormatting>
  <conditionalFormatting sqref="AB28">
    <cfRule type="expression" dxfId="476" priority="267">
      <formula>M27=TRUE</formula>
    </cfRule>
  </conditionalFormatting>
  <conditionalFormatting sqref="AB32">
    <cfRule type="expression" dxfId="475" priority="257">
      <formula>M32=TRUE</formula>
    </cfRule>
  </conditionalFormatting>
  <conditionalFormatting sqref="AB33">
    <cfRule type="expression" dxfId="474" priority="256">
      <formula>M32=TRUE</formula>
    </cfRule>
  </conditionalFormatting>
  <conditionalFormatting sqref="AB37">
    <cfRule type="expression" dxfId="473" priority="246">
      <formula>M37=TRUE</formula>
    </cfRule>
  </conditionalFormatting>
  <conditionalFormatting sqref="AB38">
    <cfRule type="expression" dxfId="472" priority="245">
      <formula>M37=TRUE</formula>
    </cfRule>
  </conditionalFormatting>
  <conditionalFormatting sqref="AB42">
    <cfRule type="expression" dxfId="471" priority="235">
      <formula>M42=TRUE</formula>
    </cfRule>
  </conditionalFormatting>
  <conditionalFormatting sqref="AB43">
    <cfRule type="expression" dxfId="470" priority="234">
      <formula>M42=TRUE</formula>
    </cfRule>
  </conditionalFormatting>
  <conditionalFormatting sqref="AB47">
    <cfRule type="expression" dxfId="469" priority="224">
      <formula>M47=TRUE</formula>
    </cfRule>
  </conditionalFormatting>
  <conditionalFormatting sqref="AB48">
    <cfRule type="expression" dxfId="468" priority="223">
      <formula>M47=TRUE</formula>
    </cfRule>
  </conditionalFormatting>
  <conditionalFormatting sqref="AB52">
    <cfRule type="expression" dxfId="467" priority="213">
      <formula>M52=TRUE</formula>
    </cfRule>
  </conditionalFormatting>
  <conditionalFormatting sqref="AB53">
    <cfRule type="expression" dxfId="466" priority="212">
      <formula>M52=TRUE</formula>
    </cfRule>
  </conditionalFormatting>
  <conditionalFormatting sqref="AB57">
    <cfRule type="expression" dxfId="465" priority="202">
      <formula>M57=TRUE</formula>
    </cfRule>
  </conditionalFormatting>
  <conditionalFormatting sqref="AB58">
    <cfRule type="expression" dxfId="464" priority="201">
      <formula>M57=TRUE</formula>
    </cfRule>
  </conditionalFormatting>
  <conditionalFormatting sqref="AB62">
    <cfRule type="expression" dxfId="463" priority="191">
      <formula>M62=TRUE</formula>
    </cfRule>
  </conditionalFormatting>
  <conditionalFormatting sqref="AB63">
    <cfRule type="expression" dxfId="462" priority="190">
      <formula>M62=TRUE</formula>
    </cfRule>
  </conditionalFormatting>
  <conditionalFormatting sqref="AB67">
    <cfRule type="expression" dxfId="461" priority="180">
      <formula>M67=TRUE</formula>
    </cfRule>
  </conditionalFormatting>
  <conditionalFormatting sqref="AB68">
    <cfRule type="expression" dxfId="460" priority="179">
      <formula>M67=TRUE</formula>
    </cfRule>
  </conditionalFormatting>
  <conditionalFormatting sqref="AB72">
    <cfRule type="expression" dxfId="459" priority="169">
      <formula>M72=TRUE</formula>
    </cfRule>
  </conditionalFormatting>
  <conditionalFormatting sqref="AB73">
    <cfRule type="expression" dxfId="458" priority="168">
      <formula>M72=TRUE</formula>
    </cfRule>
  </conditionalFormatting>
  <conditionalFormatting sqref="AB77">
    <cfRule type="expression" dxfId="457" priority="158">
      <formula>M77=TRUE</formula>
    </cfRule>
  </conditionalFormatting>
  <conditionalFormatting sqref="AB78">
    <cfRule type="expression" dxfId="456" priority="157">
      <formula>M77=TRUE</formula>
    </cfRule>
  </conditionalFormatting>
  <conditionalFormatting sqref="AB82">
    <cfRule type="expression" dxfId="455" priority="147">
      <formula>M82=TRUE</formula>
    </cfRule>
  </conditionalFormatting>
  <conditionalFormatting sqref="AB83">
    <cfRule type="expression" dxfId="454" priority="146">
      <formula>M82=TRUE</formula>
    </cfRule>
  </conditionalFormatting>
  <conditionalFormatting sqref="AB87">
    <cfRule type="expression" dxfId="453" priority="136">
      <formula>M87=TRUE</formula>
    </cfRule>
  </conditionalFormatting>
  <conditionalFormatting sqref="AB88">
    <cfRule type="expression" dxfId="452" priority="135">
      <formula>M87=TRUE</formula>
    </cfRule>
  </conditionalFormatting>
  <conditionalFormatting sqref="AB92">
    <cfRule type="expression" dxfId="451" priority="125">
      <formula>M92=TRUE</formula>
    </cfRule>
  </conditionalFormatting>
  <conditionalFormatting sqref="AB93">
    <cfRule type="expression" dxfId="450" priority="124">
      <formula>M92=TRUE</formula>
    </cfRule>
  </conditionalFormatting>
  <conditionalFormatting sqref="AB97">
    <cfRule type="expression" dxfId="449" priority="114">
      <formula>M97=TRUE</formula>
    </cfRule>
  </conditionalFormatting>
  <conditionalFormatting sqref="AB98">
    <cfRule type="expression" dxfId="448" priority="113">
      <formula>M97=TRUE</formula>
    </cfRule>
  </conditionalFormatting>
  <conditionalFormatting sqref="AB102">
    <cfRule type="expression" dxfId="447" priority="103">
      <formula>M102=TRUE</formula>
    </cfRule>
  </conditionalFormatting>
  <conditionalFormatting sqref="AB103">
    <cfRule type="expression" dxfId="446" priority="102">
      <formula>M102=TRUE</formula>
    </cfRule>
  </conditionalFormatting>
  <conditionalFormatting sqref="AB107">
    <cfRule type="expression" dxfId="445" priority="92">
      <formula>M107=TRUE</formula>
    </cfRule>
  </conditionalFormatting>
  <conditionalFormatting sqref="AB108">
    <cfRule type="expression" dxfId="444" priority="91">
      <formula>M107=TRUE</formula>
    </cfRule>
  </conditionalFormatting>
  <conditionalFormatting sqref="AC12">
    <cfRule type="expression" dxfId="443" priority="302">
      <formula>M12=TRUE</formula>
    </cfRule>
  </conditionalFormatting>
  <conditionalFormatting sqref="AC13">
    <cfRule type="expression" dxfId="442" priority="303">
      <formula>M12=TRUE</formula>
    </cfRule>
  </conditionalFormatting>
  <conditionalFormatting sqref="AC17">
    <cfRule type="expression" dxfId="441" priority="291">
      <formula>M17=TRUE</formula>
    </cfRule>
  </conditionalFormatting>
  <conditionalFormatting sqref="AC18">
    <cfRule type="expression" dxfId="440" priority="292">
      <formula>M17=TRUE</formula>
    </cfRule>
  </conditionalFormatting>
  <conditionalFormatting sqref="AC22">
    <cfRule type="expression" dxfId="439" priority="280">
      <formula>M22=TRUE</formula>
    </cfRule>
  </conditionalFormatting>
  <conditionalFormatting sqref="AC23">
    <cfRule type="expression" dxfId="438" priority="281">
      <formula>M22=TRUE</formula>
    </cfRule>
  </conditionalFormatting>
  <conditionalFormatting sqref="AC27">
    <cfRule type="expression" dxfId="437" priority="269">
      <formula>M27=TRUE</formula>
    </cfRule>
  </conditionalFormatting>
  <conditionalFormatting sqref="AC28">
    <cfRule type="expression" dxfId="436" priority="270">
      <formula>M27=TRUE</formula>
    </cfRule>
  </conditionalFormatting>
  <conditionalFormatting sqref="AC32">
    <cfRule type="expression" dxfId="435" priority="258">
      <formula>M32=TRUE</formula>
    </cfRule>
  </conditionalFormatting>
  <conditionalFormatting sqref="AC33">
    <cfRule type="expression" dxfId="434" priority="259">
      <formula>M32=TRUE</formula>
    </cfRule>
  </conditionalFormatting>
  <conditionalFormatting sqref="AC37">
    <cfRule type="expression" dxfId="433" priority="247">
      <formula>M37=TRUE</formula>
    </cfRule>
  </conditionalFormatting>
  <conditionalFormatting sqref="AC38">
    <cfRule type="expression" dxfId="432" priority="248">
      <formula>M37=TRUE</formula>
    </cfRule>
  </conditionalFormatting>
  <conditionalFormatting sqref="AC42">
    <cfRule type="expression" dxfId="431" priority="236">
      <formula>M42=TRUE</formula>
    </cfRule>
  </conditionalFormatting>
  <conditionalFormatting sqref="AC43">
    <cfRule type="expression" dxfId="430" priority="237">
      <formula>M42=TRUE</formula>
    </cfRule>
  </conditionalFormatting>
  <conditionalFormatting sqref="AC47">
    <cfRule type="expression" dxfId="429" priority="225">
      <formula>M47=TRUE</formula>
    </cfRule>
  </conditionalFormatting>
  <conditionalFormatting sqref="AC48">
    <cfRule type="expression" dxfId="428" priority="226">
      <formula>M47=TRUE</formula>
    </cfRule>
  </conditionalFormatting>
  <conditionalFormatting sqref="AC52">
    <cfRule type="expression" dxfId="427" priority="214">
      <formula>M52=TRUE</formula>
    </cfRule>
  </conditionalFormatting>
  <conditionalFormatting sqref="AC53">
    <cfRule type="expression" dxfId="426" priority="215">
      <formula>M52=TRUE</formula>
    </cfRule>
  </conditionalFormatting>
  <conditionalFormatting sqref="AC57">
    <cfRule type="expression" dxfId="425" priority="203">
      <formula>M57=TRUE</formula>
    </cfRule>
  </conditionalFormatting>
  <conditionalFormatting sqref="AC58">
    <cfRule type="expression" dxfId="424" priority="204">
      <formula>M57=TRUE</formula>
    </cfRule>
  </conditionalFormatting>
  <conditionalFormatting sqref="AC62">
    <cfRule type="expression" dxfId="423" priority="192">
      <formula>M62=TRUE</formula>
    </cfRule>
  </conditionalFormatting>
  <conditionalFormatting sqref="AC63">
    <cfRule type="expression" dxfId="422" priority="193">
      <formula>M62=TRUE</formula>
    </cfRule>
  </conditionalFormatting>
  <conditionalFormatting sqref="AC67">
    <cfRule type="expression" dxfId="421" priority="181">
      <formula>M67=TRUE</formula>
    </cfRule>
  </conditionalFormatting>
  <conditionalFormatting sqref="AC68">
    <cfRule type="expression" dxfId="420" priority="182">
      <formula>M67=TRUE</formula>
    </cfRule>
  </conditionalFormatting>
  <conditionalFormatting sqref="AC72">
    <cfRule type="expression" dxfId="419" priority="170">
      <formula>M72=TRUE</formula>
    </cfRule>
  </conditionalFormatting>
  <conditionalFormatting sqref="AC73">
    <cfRule type="expression" dxfId="418" priority="171">
      <formula>M72=TRUE</formula>
    </cfRule>
  </conditionalFormatting>
  <conditionalFormatting sqref="AC77">
    <cfRule type="expression" dxfId="417" priority="159">
      <formula>M77=TRUE</formula>
    </cfRule>
  </conditionalFormatting>
  <conditionalFormatting sqref="AC78">
    <cfRule type="expression" dxfId="416" priority="160">
      <formula>M77=TRUE</formula>
    </cfRule>
  </conditionalFormatting>
  <conditionalFormatting sqref="AC82">
    <cfRule type="expression" dxfId="415" priority="148">
      <formula>M82=TRUE</formula>
    </cfRule>
  </conditionalFormatting>
  <conditionalFormatting sqref="AC83">
    <cfRule type="expression" dxfId="414" priority="149">
      <formula>M82=TRUE</formula>
    </cfRule>
  </conditionalFormatting>
  <conditionalFormatting sqref="AC87">
    <cfRule type="expression" dxfId="413" priority="137">
      <formula>M87=TRUE</formula>
    </cfRule>
  </conditionalFormatting>
  <conditionalFormatting sqref="AC88">
    <cfRule type="expression" dxfId="412" priority="138">
      <formula>M87=TRUE</formula>
    </cfRule>
  </conditionalFormatting>
  <conditionalFormatting sqref="AC92">
    <cfRule type="expression" dxfId="411" priority="126">
      <formula>M92=TRUE</formula>
    </cfRule>
  </conditionalFormatting>
  <conditionalFormatting sqref="AC93">
    <cfRule type="expression" dxfId="410" priority="127">
      <formula>M92=TRUE</formula>
    </cfRule>
  </conditionalFormatting>
  <conditionalFormatting sqref="AC97">
    <cfRule type="expression" dxfId="409" priority="115">
      <formula>M97=TRUE</formula>
    </cfRule>
  </conditionalFormatting>
  <conditionalFormatting sqref="AC98">
    <cfRule type="expression" dxfId="408" priority="116">
      <formula>M97=TRUE</formula>
    </cfRule>
  </conditionalFormatting>
  <conditionalFormatting sqref="AC102">
    <cfRule type="expression" dxfId="407" priority="104">
      <formula>M102=TRUE</formula>
    </cfRule>
  </conditionalFormatting>
  <conditionalFormatting sqref="AC103">
    <cfRule type="expression" dxfId="406" priority="105">
      <formula>M102=TRUE</formula>
    </cfRule>
  </conditionalFormatting>
  <conditionalFormatting sqref="AC107">
    <cfRule type="expression" dxfId="405" priority="93">
      <formula>M107=TRUE</formula>
    </cfRule>
  </conditionalFormatting>
  <conditionalFormatting sqref="AC108">
    <cfRule type="expression" dxfId="404" priority="94">
      <formula>M107=TRUE</formula>
    </cfRule>
  </conditionalFormatting>
  <conditionalFormatting sqref="AC9:AD9">
    <cfRule type="expression" dxfId="403" priority="609">
      <formula>OR(M12,M17,M22,M27,M32,M37,M42,M47,M52,M57,M62,M67,M72,M77,M82,M87,M92,M97,M102,M107)=TRUE</formula>
    </cfRule>
  </conditionalFormatting>
  <conditionalFormatting sqref="AD12">
    <cfRule type="expression" dxfId="402" priority="597">
      <formula>M12=FALSE</formula>
    </cfRule>
    <cfRule type="expression" dxfId="401" priority="598">
      <formula>AB13=TRUE</formula>
    </cfRule>
  </conditionalFormatting>
  <conditionalFormatting sqref="AD13">
    <cfRule type="expression" dxfId="400" priority="615">
      <formula>AND(AB13,M12)=TRUE</formula>
    </cfRule>
  </conditionalFormatting>
  <conditionalFormatting sqref="AD17">
    <cfRule type="expression" dxfId="399" priority="76">
      <formula>M17=FALSE</formula>
    </cfRule>
    <cfRule type="expression" dxfId="398" priority="77">
      <formula>AB18=TRUE</formula>
    </cfRule>
  </conditionalFormatting>
  <conditionalFormatting sqref="AD18">
    <cfRule type="expression" dxfId="397" priority="78">
      <formula>AND(AB18,M17)=TRUE</formula>
    </cfRule>
  </conditionalFormatting>
  <conditionalFormatting sqref="AD22">
    <cfRule type="expression" dxfId="396" priority="73">
      <formula>M22=FALSE</formula>
    </cfRule>
    <cfRule type="expression" dxfId="395" priority="74">
      <formula>AB23=TRUE</formula>
    </cfRule>
  </conditionalFormatting>
  <conditionalFormatting sqref="AD23">
    <cfRule type="expression" dxfId="394" priority="75">
      <formula>AND(AB23,M22)=TRUE</formula>
    </cfRule>
  </conditionalFormatting>
  <conditionalFormatting sqref="AD27">
    <cfRule type="expression" dxfId="393" priority="70">
      <formula>M27=FALSE</formula>
    </cfRule>
    <cfRule type="expression" dxfId="392" priority="71">
      <formula>AB28=TRUE</formula>
    </cfRule>
  </conditionalFormatting>
  <conditionalFormatting sqref="AD28">
    <cfRule type="expression" dxfId="391" priority="72">
      <formula>AND(AB28,M27)=TRUE</formula>
    </cfRule>
  </conditionalFormatting>
  <conditionalFormatting sqref="AD32">
    <cfRule type="expression" dxfId="390" priority="67">
      <formula>M32=FALSE</formula>
    </cfRule>
    <cfRule type="expression" dxfId="389" priority="68">
      <formula>AB33=TRUE</formula>
    </cfRule>
  </conditionalFormatting>
  <conditionalFormatting sqref="AD33">
    <cfRule type="expression" dxfId="388" priority="69">
      <formula>AND(AB33,M32)=TRUE</formula>
    </cfRule>
  </conditionalFormatting>
  <conditionalFormatting sqref="AD37">
    <cfRule type="expression" dxfId="387" priority="64">
      <formula>M37=FALSE</formula>
    </cfRule>
    <cfRule type="expression" dxfId="386" priority="65">
      <formula>AB38=TRUE</formula>
    </cfRule>
  </conditionalFormatting>
  <conditionalFormatting sqref="AD38">
    <cfRule type="expression" dxfId="385" priority="66">
      <formula>AND(AB38,M37)=TRUE</formula>
    </cfRule>
  </conditionalFormatting>
  <conditionalFormatting sqref="AD42">
    <cfRule type="expression" dxfId="384" priority="61">
      <formula>M42=FALSE</formula>
    </cfRule>
    <cfRule type="expression" dxfId="383" priority="62">
      <formula>AB43=TRUE</formula>
    </cfRule>
  </conditionalFormatting>
  <conditionalFormatting sqref="AD43">
    <cfRule type="expression" dxfId="382" priority="63">
      <formula>AND(AB43,M42)=TRUE</formula>
    </cfRule>
  </conditionalFormatting>
  <conditionalFormatting sqref="AD47">
    <cfRule type="expression" dxfId="381" priority="58">
      <formula>M47=FALSE</formula>
    </cfRule>
    <cfRule type="expression" dxfId="380" priority="59">
      <formula>AB48=TRUE</formula>
    </cfRule>
  </conditionalFormatting>
  <conditionalFormatting sqref="AD48">
    <cfRule type="expression" dxfId="379" priority="60">
      <formula>AND(AB48,M47)=TRUE</formula>
    </cfRule>
  </conditionalFormatting>
  <conditionalFormatting sqref="AD52">
    <cfRule type="expression" dxfId="378" priority="55">
      <formula>M52=FALSE</formula>
    </cfRule>
    <cfRule type="expression" dxfId="377" priority="56">
      <formula>AB53=TRUE</formula>
    </cfRule>
  </conditionalFormatting>
  <conditionalFormatting sqref="AD53">
    <cfRule type="expression" dxfId="376" priority="57">
      <formula>AND(AB53,M52)=TRUE</formula>
    </cfRule>
  </conditionalFormatting>
  <conditionalFormatting sqref="AD57">
    <cfRule type="expression" dxfId="375" priority="52">
      <formula>M57=FALSE</formula>
    </cfRule>
    <cfRule type="expression" dxfId="374" priority="53">
      <formula>AB58=TRUE</formula>
    </cfRule>
  </conditionalFormatting>
  <conditionalFormatting sqref="AD58">
    <cfRule type="expression" dxfId="373" priority="54">
      <formula>AND(AB58,M57)=TRUE</formula>
    </cfRule>
  </conditionalFormatting>
  <conditionalFormatting sqref="AD62">
    <cfRule type="expression" dxfId="372" priority="49">
      <formula>M62=FALSE</formula>
    </cfRule>
    <cfRule type="expression" dxfId="371" priority="50">
      <formula>AB63=TRUE</formula>
    </cfRule>
  </conditionalFormatting>
  <conditionalFormatting sqref="AD63">
    <cfRule type="expression" dxfId="370" priority="51">
      <formula>AND(AB63,M62)=TRUE</formula>
    </cfRule>
  </conditionalFormatting>
  <conditionalFormatting sqref="AD67">
    <cfRule type="expression" dxfId="369" priority="46">
      <formula>M67=FALSE</formula>
    </cfRule>
    <cfRule type="expression" dxfId="368" priority="47">
      <formula>AB68=TRUE</formula>
    </cfRule>
  </conditionalFormatting>
  <conditionalFormatting sqref="AD68">
    <cfRule type="expression" dxfId="367" priority="48">
      <formula>AND(AB68,M67)=TRUE</formula>
    </cfRule>
  </conditionalFormatting>
  <conditionalFormatting sqref="AD72">
    <cfRule type="expression" dxfId="366" priority="43">
      <formula>M72=FALSE</formula>
    </cfRule>
    <cfRule type="expression" dxfId="365" priority="44">
      <formula>AB73=TRUE</formula>
    </cfRule>
  </conditionalFormatting>
  <conditionalFormatting sqref="AD73">
    <cfRule type="expression" dxfId="364" priority="45">
      <formula>AND(AB73,M72)=TRUE</formula>
    </cfRule>
  </conditionalFormatting>
  <conditionalFormatting sqref="AD77">
    <cfRule type="expression" dxfId="363" priority="40">
      <formula>M77=FALSE</formula>
    </cfRule>
    <cfRule type="expression" dxfId="362" priority="41">
      <formula>AB78=TRUE</formula>
    </cfRule>
  </conditionalFormatting>
  <conditionalFormatting sqref="AD78">
    <cfRule type="expression" dxfId="361" priority="42">
      <formula>AND(AB78,M77)=TRUE</formula>
    </cfRule>
  </conditionalFormatting>
  <conditionalFormatting sqref="AD82">
    <cfRule type="expression" dxfId="360" priority="37">
      <formula>M82=FALSE</formula>
    </cfRule>
    <cfRule type="expression" dxfId="359" priority="38">
      <formula>AB83=TRUE</formula>
    </cfRule>
  </conditionalFormatting>
  <conditionalFormatting sqref="AD83">
    <cfRule type="expression" dxfId="358" priority="39">
      <formula>AND(AB83,M82)=TRUE</formula>
    </cfRule>
  </conditionalFormatting>
  <conditionalFormatting sqref="AD87">
    <cfRule type="expression" dxfId="357" priority="34">
      <formula>M87=FALSE</formula>
    </cfRule>
    <cfRule type="expression" dxfId="356" priority="35">
      <formula>AB88=TRUE</formula>
    </cfRule>
  </conditionalFormatting>
  <conditionalFormatting sqref="AD88">
    <cfRule type="expression" dxfId="355" priority="36">
      <formula>AND(AB88,M87)=TRUE</formula>
    </cfRule>
  </conditionalFormatting>
  <conditionalFormatting sqref="AD92">
    <cfRule type="expression" dxfId="354" priority="31">
      <formula>M92=FALSE</formula>
    </cfRule>
    <cfRule type="expression" dxfId="353" priority="32">
      <formula>AB93=TRUE</formula>
    </cfRule>
  </conditionalFormatting>
  <conditionalFormatting sqref="AD93">
    <cfRule type="expression" dxfId="352" priority="33">
      <formula>AND(AB93,M92)=TRUE</formula>
    </cfRule>
  </conditionalFormatting>
  <conditionalFormatting sqref="AD97">
    <cfRule type="expression" dxfId="351" priority="28">
      <formula>M97=FALSE</formula>
    </cfRule>
    <cfRule type="expression" dxfId="350" priority="29">
      <formula>AB98=TRUE</formula>
    </cfRule>
  </conditionalFormatting>
  <conditionalFormatting sqref="AD98">
    <cfRule type="expression" dxfId="349" priority="30">
      <formula>AND(AB98,M97)=TRUE</formula>
    </cfRule>
  </conditionalFormatting>
  <conditionalFormatting sqref="AD102">
    <cfRule type="expression" dxfId="348" priority="25">
      <formula>M102=FALSE</formula>
    </cfRule>
    <cfRule type="expression" dxfId="347" priority="26">
      <formula>AB103=TRUE</formula>
    </cfRule>
  </conditionalFormatting>
  <conditionalFormatting sqref="AD103">
    <cfRule type="expression" dxfId="346" priority="27">
      <formula>AND(AB103,M102)=TRUE</formula>
    </cfRule>
  </conditionalFormatting>
  <conditionalFormatting sqref="AD107">
    <cfRule type="expression" dxfId="345" priority="22">
      <formula>M107=FALSE</formula>
    </cfRule>
    <cfRule type="expression" dxfId="344" priority="23">
      <formula>AB108=TRUE</formula>
    </cfRule>
  </conditionalFormatting>
  <conditionalFormatting sqref="AD108">
    <cfRule type="expression" dxfId="343"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4.45" outlineLevelRow="1"/>
  <cols>
    <col min="1" max="1" width="3.5703125" style="84" customWidth="1"/>
    <col min="2" max="2" width="7.28515625" style="84" hidden="1" customWidth="1"/>
    <col min="3" max="3" width="51.85546875" style="3" customWidth="1"/>
    <col min="4" max="4" width="5.85546875" style="22"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3.45">
      <c r="A1" s="818" t="s">
        <v>380</v>
      </c>
      <c r="B1" s="818"/>
      <c r="C1" s="818"/>
      <c r="D1" s="818"/>
      <c r="E1" s="818"/>
    </row>
    <row r="2" spans="1:37" ht="18.95" thickBot="1">
      <c r="D2" s="23"/>
      <c r="F2" s="11"/>
      <c r="H2" s="11"/>
      <c r="J2" s="11"/>
      <c r="L2" s="11"/>
    </row>
    <row r="3" spans="1:37" ht="18.95" thickBot="1">
      <c r="C3" s="89" t="s">
        <v>119</v>
      </c>
      <c r="D3" s="24"/>
      <c r="E3" s="88" t="s">
        <v>381</v>
      </c>
      <c r="F3" s="7"/>
      <c r="G3" s="89" t="s">
        <v>293</v>
      </c>
      <c r="H3" s="7"/>
      <c r="I3" s="89" t="s">
        <v>382</v>
      </c>
      <c r="J3" s="7"/>
      <c r="K3" s="89" t="s">
        <v>383</v>
      </c>
      <c r="L3" s="7"/>
    </row>
    <row r="4" spans="1:37" s="3" customFormat="1" ht="291" hidden="1" customHeight="1" outlineLevel="1">
      <c r="A4" s="503" t="s">
        <v>125</v>
      </c>
      <c r="B4" s="133"/>
      <c r="C4" s="506" t="s">
        <v>384</v>
      </c>
      <c r="D4" s="145"/>
      <c r="E4" s="146" t="s">
        <v>385</v>
      </c>
      <c r="F4" s="145"/>
      <c r="G4" s="146" t="s">
        <v>386</v>
      </c>
      <c r="H4" s="145"/>
      <c r="I4" s="146" t="s">
        <v>387</v>
      </c>
      <c r="J4" s="145"/>
      <c r="K4" s="146" t="s">
        <v>388</v>
      </c>
      <c r="L4"/>
      <c r="M4"/>
      <c r="N4"/>
      <c r="O4"/>
      <c r="P4"/>
      <c r="Q4"/>
      <c r="R4"/>
      <c r="S4"/>
      <c r="T4"/>
      <c r="U4"/>
      <c r="V4"/>
      <c r="W4"/>
      <c r="X4"/>
      <c r="Y4"/>
      <c r="Z4"/>
      <c r="AA4"/>
      <c r="AB4"/>
      <c r="AC4"/>
      <c r="AD4"/>
      <c r="AE4"/>
      <c r="AF4"/>
      <c r="AG4"/>
      <c r="AH4"/>
      <c r="AI4"/>
      <c r="AJ4"/>
      <c r="AK4"/>
    </row>
    <row r="5" spans="1:37" s="3" customFormat="1" hidden="1" outlineLevel="1">
      <c r="A5" s="689" t="s">
        <v>133</v>
      </c>
      <c r="B5" s="503"/>
      <c r="C5" s="484"/>
      <c r="D5" s="517"/>
      <c r="E5" s="483" t="s">
        <v>389</v>
      </c>
      <c r="F5" s="517"/>
      <c r="G5" s="483" t="s">
        <v>313</v>
      </c>
      <c r="H5" s="517"/>
      <c r="I5" s="483" t="s">
        <v>314</v>
      </c>
      <c r="J5" s="517"/>
      <c r="K5" s="484"/>
      <c r="L5"/>
      <c r="M5"/>
      <c r="N5"/>
      <c r="O5"/>
      <c r="P5"/>
      <c r="Q5"/>
      <c r="R5"/>
      <c r="S5"/>
      <c r="T5"/>
      <c r="U5"/>
      <c r="V5"/>
      <c r="W5"/>
      <c r="X5"/>
      <c r="Y5"/>
      <c r="Z5"/>
      <c r="AA5"/>
      <c r="AB5"/>
      <c r="AC5"/>
      <c r="AD5"/>
      <c r="AE5"/>
      <c r="AF5"/>
      <c r="AG5"/>
      <c r="AH5"/>
      <c r="AI5"/>
      <c r="AJ5"/>
      <c r="AK5"/>
    </row>
    <row r="6" spans="1:37" s="3" customFormat="1" ht="29.1" hidden="1" outlineLevel="1">
      <c r="A6" s="689"/>
      <c r="B6" s="503"/>
      <c r="C6" s="484"/>
      <c r="D6" s="517"/>
      <c r="E6" s="484"/>
      <c r="F6" s="517"/>
      <c r="G6" s="484"/>
      <c r="H6" s="517"/>
      <c r="I6" s="483" t="s">
        <v>390</v>
      </c>
      <c r="J6" s="517"/>
      <c r="K6" s="484"/>
      <c r="L6"/>
      <c r="M6"/>
      <c r="N6"/>
      <c r="O6"/>
      <c r="P6"/>
      <c r="Q6"/>
      <c r="R6"/>
      <c r="S6"/>
      <c r="T6"/>
      <c r="U6"/>
      <c r="V6"/>
      <c r="W6"/>
      <c r="X6"/>
      <c r="Y6"/>
      <c r="Z6"/>
      <c r="AA6"/>
      <c r="AB6"/>
      <c r="AC6"/>
      <c r="AD6"/>
      <c r="AE6"/>
      <c r="AF6"/>
      <c r="AG6"/>
      <c r="AH6"/>
      <c r="AI6"/>
      <c r="AJ6"/>
      <c r="AK6"/>
    </row>
    <row r="7" spans="1:37" s="3" customFormat="1" ht="29.1" hidden="1" outlineLevel="1">
      <c r="A7" s="689"/>
      <c r="B7" s="503"/>
      <c r="C7" s="484"/>
      <c r="D7" s="517"/>
      <c r="E7" s="484"/>
      <c r="F7" s="517"/>
      <c r="G7" s="484"/>
      <c r="H7" s="517"/>
      <c r="I7" s="483" t="s">
        <v>391</v>
      </c>
      <c r="J7" s="517"/>
      <c r="K7" s="484"/>
      <c r="L7"/>
      <c r="M7"/>
      <c r="N7"/>
      <c r="O7"/>
      <c r="P7"/>
      <c r="Q7"/>
      <c r="R7"/>
      <c r="S7"/>
      <c r="T7"/>
      <c r="U7"/>
      <c r="V7"/>
      <c r="W7"/>
      <c r="X7"/>
      <c r="Y7"/>
      <c r="Z7"/>
      <c r="AA7"/>
      <c r="AB7"/>
      <c r="AC7"/>
      <c r="AD7"/>
      <c r="AE7"/>
      <c r="AF7"/>
      <c r="AG7"/>
      <c r="AH7"/>
      <c r="AI7"/>
      <c r="AJ7"/>
      <c r="AK7"/>
    </row>
    <row r="8" spans="1:37" s="3" customFormat="1" hidden="1" outlineLevel="1">
      <c r="A8" s="689"/>
      <c r="B8" s="503"/>
      <c r="C8" s="484"/>
      <c r="D8" s="517"/>
      <c r="E8" s="484"/>
      <c r="F8" s="517"/>
      <c r="G8" s="484"/>
      <c r="H8" s="517"/>
      <c r="I8" s="484"/>
      <c r="J8" s="517"/>
      <c r="K8" s="484"/>
      <c r="L8"/>
      <c r="M8"/>
      <c r="N8"/>
      <c r="O8"/>
      <c r="P8"/>
      <c r="Q8"/>
      <c r="R8"/>
      <c r="S8"/>
      <c r="T8"/>
      <c r="U8"/>
      <c r="V8"/>
      <c r="W8"/>
      <c r="X8"/>
      <c r="Y8"/>
      <c r="Z8"/>
      <c r="AA8"/>
      <c r="AB8"/>
      <c r="AC8"/>
      <c r="AD8"/>
      <c r="AE8"/>
      <c r="AF8"/>
      <c r="AG8"/>
      <c r="AH8"/>
      <c r="AI8"/>
      <c r="AJ8"/>
      <c r="AK8"/>
    </row>
    <row r="9" spans="1:37" s="3" customFormat="1" hidden="1" outlineLevel="1">
      <c r="A9" s="689"/>
      <c r="B9" s="503"/>
      <c r="C9" s="484"/>
      <c r="D9" s="517"/>
      <c r="E9" s="484"/>
      <c r="F9" s="517"/>
      <c r="G9" s="484"/>
      <c r="H9" s="517"/>
      <c r="I9" s="484"/>
      <c r="J9" s="517"/>
      <c r="K9" s="484"/>
      <c r="L9"/>
      <c r="M9"/>
      <c r="N9"/>
      <c r="O9"/>
      <c r="P9"/>
      <c r="Q9"/>
      <c r="R9"/>
      <c r="S9"/>
      <c r="T9"/>
      <c r="U9"/>
      <c r="V9"/>
      <c r="W9"/>
      <c r="X9"/>
      <c r="Y9"/>
      <c r="Z9"/>
      <c r="AA9"/>
      <c r="AB9"/>
      <c r="AC9"/>
      <c r="AD9"/>
      <c r="AE9"/>
      <c r="AF9"/>
      <c r="AG9"/>
      <c r="AH9"/>
      <c r="AI9"/>
      <c r="AJ9"/>
      <c r="AK9"/>
    </row>
    <row r="10" spans="1:37" collapsed="1">
      <c r="C10" s="502" t="s">
        <v>140</v>
      </c>
      <c r="D10" s="25"/>
      <c r="E10" s="502" t="s">
        <v>142</v>
      </c>
      <c r="F10" s="3"/>
      <c r="G10" s="502" t="s">
        <v>140</v>
      </c>
      <c r="H10" s="3"/>
      <c r="I10" s="502" t="s">
        <v>140</v>
      </c>
      <c r="J10" s="3"/>
      <c r="K10" s="502" t="s">
        <v>140</v>
      </c>
      <c r="L10" s="3"/>
    </row>
    <row r="11" spans="1:37" ht="6" customHeight="1" thickBot="1">
      <c r="A11" s="85"/>
      <c r="B11" s="85"/>
      <c r="C11" s="30"/>
      <c r="D11" s="28"/>
      <c r="E11" s="27"/>
      <c r="F11" s="27"/>
      <c r="G11" s="30"/>
      <c r="H11" s="27"/>
      <c r="I11" s="30"/>
      <c r="J11" s="27"/>
      <c r="K11" s="30"/>
    </row>
    <row r="12" spans="1:37" ht="14.45" customHeight="1">
      <c r="A12" s="819">
        <v>1</v>
      </c>
      <c r="B12" s="474">
        <f>A12+10</f>
        <v>11</v>
      </c>
      <c r="C12" s="804" t="s">
        <v>392</v>
      </c>
      <c r="D12" s="70"/>
      <c r="E12" s="68" t="s">
        <v>20</v>
      </c>
      <c r="F12" s="54"/>
      <c r="G12" s="825"/>
      <c r="H12" s="508"/>
      <c r="I12" s="808" t="s">
        <v>393</v>
      </c>
      <c r="J12" s="508"/>
      <c r="K12" s="822" t="s">
        <v>394</v>
      </c>
    </row>
    <row r="13" spans="1:37" ht="16.5" customHeight="1">
      <c r="A13" s="820"/>
      <c r="B13" s="210">
        <f>B12+1</f>
        <v>12</v>
      </c>
      <c r="C13" s="805"/>
      <c r="E13" s="482" t="s">
        <v>141</v>
      </c>
      <c r="F13" s="482"/>
      <c r="G13" s="826"/>
      <c r="H13" s="509"/>
      <c r="I13" s="542"/>
      <c r="J13" s="509"/>
      <c r="K13" s="823"/>
    </row>
    <row r="14" spans="1:37" ht="14.45" customHeight="1">
      <c r="A14" s="820"/>
      <c r="B14" s="210">
        <f>B13+1</f>
        <v>13</v>
      </c>
      <c r="C14" s="805"/>
      <c r="D14" s="71" t="b">
        <v>0</v>
      </c>
      <c r="E14" s="39" t="s">
        <v>395</v>
      </c>
      <c r="G14" s="826"/>
      <c r="H14" s="509"/>
      <c r="I14" s="542"/>
      <c r="J14" s="509"/>
      <c r="K14" s="823"/>
    </row>
    <row r="15" spans="1:37" ht="6.75" customHeight="1">
      <c r="A15" s="820"/>
      <c r="B15" s="210">
        <f>B14+1</f>
        <v>14</v>
      </c>
      <c r="C15" s="805"/>
      <c r="D15" s="72"/>
      <c r="E15" s="39"/>
      <c r="G15" s="826"/>
      <c r="H15" s="509"/>
      <c r="I15" s="542"/>
      <c r="J15" s="509"/>
      <c r="K15" s="823"/>
    </row>
    <row r="16" spans="1:37" ht="29.45" customHeight="1" thickBot="1">
      <c r="A16" s="821"/>
      <c r="B16" s="210">
        <f>B15+1</f>
        <v>15</v>
      </c>
      <c r="C16" s="807"/>
      <c r="D16" s="73" t="b">
        <v>0</v>
      </c>
      <c r="E16" s="50" t="s">
        <v>396</v>
      </c>
      <c r="F16" s="59"/>
      <c r="G16" s="827"/>
      <c r="H16" s="510"/>
      <c r="I16" s="810"/>
      <c r="J16" s="510"/>
      <c r="K16" s="824"/>
    </row>
    <row r="17" spans="1:11" ht="6" customHeight="1" thickBot="1">
      <c r="A17" s="85"/>
      <c r="B17" s="85"/>
      <c r="C17" s="165"/>
      <c r="D17" s="28"/>
      <c r="E17" s="27"/>
      <c r="F17" s="27"/>
      <c r="G17" s="165"/>
      <c r="H17" s="119"/>
      <c r="I17" s="165"/>
      <c r="J17" s="119"/>
      <c r="K17" s="165"/>
    </row>
    <row r="18" spans="1:11">
      <c r="A18" s="819">
        <f>A12+1</f>
        <v>2</v>
      </c>
      <c r="B18" s="33">
        <f>B12+10</f>
        <v>21</v>
      </c>
      <c r="C18" s="804" t="s">
        <v>397</v>
      </c>
      <c r="D18" s="70"/>
      <c r="E18" s="68" t="s">
        <v>20</v>
      </c>
      <c r="F18" s="54"/>
      <c r="G18" s="808"/>
      <c r="H18" s="508"/>
      <c r="I18" s="808" t="s">
        <v>393</v>
      </c>
      <c r="J18" s="508"/>
      <c r="K18" s="822" t="s">
        <v>398</v>
      </c>
    </row>
    <row r="19" spans="1:11">
      <c r="A19" s="820"/>
      <c r="B19" s="33">
        <f>B13+10</f>
        <v>22</v>
      </c>
      <c r="C19" s="805"/>
      <c r="D19" s="39"/>
      <c r="E19" s="482" t="s">
        <v>141</v>
      </c>
      <c r="F19" s="482"/>
      <c r="G19" s="542"/>
      <c r="H19" s="509"/>
      <c r="I19" s="542"/>
      <c r="J19" s="509"/>
      <c r="K19" s="823"/>
    </row>
    <row r="20" spans="1:11">
      <c r="A20" s="820"/>
      <c r="B20" s="33">
        <f>B14+10</f>
        <v>23</v>
      </c>
      <c r="C20" s="805"/>
      <c r="D20" s="71" t="b">
        <v>0</v>
      </c>
      <c r="E20" s="39" t="s">
        <v>395</v>
      </c>
      <c r="G20" s="542"/>
      <c r="H20" s="509"/>
      <c r="I20" s="542"/>
      <c r="J20" s="509"/>
      <c r="K20" s="823"/>
    </row>
    <row r="21" spans="1:11" ht="7.5" customHeight="1">
      <c r="A21" s="820"/>
      <c r="B21" s="33">
        <f>B15+10</f>
        <v>24</v>
      </c>
      <c r="C21" s="805"/>
      <c r="D21" s="39"/>
      <c r="E21" s="39"/>
      <c r="G21" s="542"/>
      <c r="H21" s="509"/>
      <c r="I21" s="542"/>
      <c r="J21" s="509"/>
      <c r="K21" s="823"/>
    </row>
    <row r="22" spans="1:11" ht="29.45" thickBot="1">
      <c r="A22" s="821"/>
      <c r="B22" s="33">
        <f>B16+10</f>
        <v>25</v>
      </c>
      <c r="C22" s="807"/>
      <c r="D22" s="73" t="b">
        <v>0</v>
      </c>
      <c r="E22" s="50" t="s">
        <v>396</v>
      </c>
      <c r="F22" s="59"/>
      <c r="G22" s="810"/>
      <c r="H22" s="510"/>
      <c r="I22" s="810"/>
      <c r="J22" s="510"/>
      <c r="K22" s="824"/>
    </row>
    <row r="23" spans="1:11" ht="6" customHeight="1" thickBot="1">
      <c r="A23" s="85"/>
      <c r="B23" s="85"/>
      <c r="C23" s="165"/>
      <c r="D23" s="28"/>
      <c r="E23" s="27"/>
      <c r="F23" s="27"/>
      <c r="G23" s="165"/>
      <c r="H23" s="119"/>
      <c r="I23" s="165"/>
      <c r="J23" s="119"/>
      <c r="K23" s="165"/>
    </row>
    <row r="24" spans="1:11">
      <c r="A24" s="828">
        <f>A18+1</f>
        <v>3</v>
      </c>
      <c r="B24" s="33">
        <f>B18+10</f>
        <v>31</v>
      </c>
      <c r="C24" s="831"/>
      <c r="D24" s="74"/>
      <c r="E24" s="75"/>
      <c r="F24" s="54"/>
      <c r="G24" s="808"/>
      <c r="H24" s="508"/>
      <c r="I24" s="808"/>
      <c r="J24" s="508"/>
      <c r="K24" s="822"/>
    </row>
    <row r="25" spans="1:11">
      <c r="A25" s="829"/>
      <c r="B25" s="33">
        <f>B19+10</f>
        <v>32</v>
      </c>
      <c r="C25" s="832"/>
      <c r="D25" s="76"/>
      <c r="E25" s="482" t="s">
        <v>141</v>
      </c>
      <c r="F25" s="482"/>
      <c r="G25" s="542"/>
      <c r="H25" s="509"/>
      <c r="I25" s="542"/>
      <c r="J25" s="509"/>
      <c r="K25" s="823"/>
    </row>
    <row r="26" spans="1:11">
      <c r="A26" s="829"/>
      <c r="B26" s="33">
        <f>B20+10</f>
        <v>33</v>
      </c>
      <c r="C26" s="832"/>
      <c r="D26" s="71" t="b">
        <v>0</v>
      </c>
      <c r="E26" s="39" t="s">
        <v>395</v>
      </c>
      <c r="G26" s="542"/>
      <c r="H26" s="509"/>
      <c r="I26" s="542"/>
      <c r="J26" s="509"/>
      <c r="K26" s="823"/>
    </row>
    <row r="27" spans="1:11" ht="6.75" customHeight="1">
      <c r="A27" s="829"/>
      <c r="B27" s="33">
        <f>B21+10</f>
        <v>34</v>
      </c>
      <c r="C27" s="832"/>
      <c r="D27" s="72"/>
      <c r="E27" s="39"/>
      <c r="G27" s="542"/>
      <c r="H27" s="509"/>
      <c r="I27" s="542"/>
      <c r="J27" s="509"/>
      <c r="K27" s="823"/>
    </row>
    <row r="28" spans="1:11" ht="29.45" thickBot="1">
      <c r="A28" s="830"/>
      <c r="B28" s="33">
        <f>B22+10</f>
        <v>35</v>
      </c>
      <c r="C28" s="833"/>
      <c r="D28" s="73" t="b">
        <v>0</v>
      </c>
      <c r="E28" s="50" t="s">
        <v>396</v>
      </c>
      <c r="F28" s="59"/>
      <c r="G28" s="810"/>
      <c r="H28" s="510"/>
      <c r="I28" s="810"/>
      <c r="J28" s="510"/>
      <c r="K28" s="824"/>
    </row>
    <row r="29" spans="1:11" ht="6" customHeight="1" thickBot="1">
      <c r="A29" s="85"/>
      <c r="B29" s="85"/>
      <c r="C29" s="165"/>
      <c r="D29" s="28"/>
      <c r="E29" s="27"/>
      <c r="F29" s="27"/>
      <c r="G29" s="165"/>
      <c r="H29" s="119"/>
      <c r="I29" s="165"/>
      <c r="J29" s="119"/>
      <c r="K29" s="165"/>
    </row>
    <row r="30" spans="1:11">
      <c r="A30" s="828">
        <f>A24+1</f>
        <v>4</v>
      </c>
      <c r="B30" s="33">
        <f>B24+10</f>
        <v>41</v>
      </c>
      <c r="C30" s="831"/>
      <c r="D30" s="74"/>
      <c r="E30" s="75"/>
      <c r="F30" s="54"/>
      <c r="G30" s="808"/>
      <c r="H30" s="508"/>
      <c r="I30" s="808"/>
      <c r="J30" s="508"/>
      <c r="K30" s="822"/>
    </row>
    <row r="31" spans="1:11">
      <c r="A31" s="829"/>
      <c r="B31" s="33">
        <f>B25+10</f>
        <v>42</v>
      </c>
      <c r="C31" s="832"/>
      <c r="D31" s="76"/>
      <c r="E31" s="482" t="s">
        <v>141</v>
      </c>
      <c r="F31" s="482"/>
      <c r="G31" s="542"/>
      <c r="H31" s="509"/>
      <c r="I31" s="542"/>
      <c r="J31" s="509"/>
      <c r="K31" s="823"/>
    </row>
    <row r="32" spans="1:11">
      <c r="A32" s="829"/>
      <c r="B32" s="33">
        <f>B26+10</f>
        <v>43</v>
      </c>
      <c r="C32" s="832"/>
      <c r="D32" s="71" t="b">
        <v>0</v>
      </c>
      <c r="E32" s="39" t="s">
        <v>395</v>
      </c>
      <c r="G32" s="542"/>
      <c r="H32" s="509"/>
      <c r="I32" s="542"/>
      <c r="J32" s="509"/>
      <c r="K32" s="823"/>
    </row>
    <row r="33" spans="1:11" ht="6.75" customHeight="1">
      <c r="A33" s="829"/>
      <c r="B33" s="33">
        <f>B27+10</f>
        <v>44</v>
      </c>
      <c r="C33" s="832"/>
      <c r="D33" s="72"/>
      <c r="E33" s="39"/>
      <c r="G33" s="542"/>
      <c r="H33" s="509"/>
      <c r="I33" s="542"/>
      <c r="J33" s="509"/>
      <c r="K33" s="823"/>
    </row>
    <row r="34" spans="1:11" ht="29.45" thickBot="1">
      <c r="A34" s="830"/>
      <c r="B34" s="33">
        <f>B28+10</f>
        <v>45</v>
      </c>
      <c r="C34" s="833"/>
      <c r="D34" s="73" t="b">
        <v>0</v>
      </c>
      <c r="E34" s="50" t="s">
        <v>396</v>
      </c>
      <c r="F34" s="59"/>
      <c r="G34" s="810"/>
      <c r="H34" s="510"/>
      <c r="I34" s="810"/>
      <c r="J34" s="510"/>
      <c r="K34" s="824"/>
    </row>
    <row r="35" spans="1:11" ht="6" customHeight="1" thickBot="1">
      <c r="A35" s="85"/>
      <c r="B35" s="85"/>
      <c r="C35" s="165"/>
      <c r="D35" s="28"/>
      <c r="E35" s="27"/>
      <c r="F35" s="27"/>
      <c r="G35" s="165"/>
      <c r="H35" s="119"/>
      <c r="I35" s="165"/>
      <c r="J35" s="119"/>
      <c r="K35" s="165"/>
    </row>
    <row r="36" spans="1:11">
      <c r="A36" s="828">
        <f>A30+1</f>
        <v>5</v>
      </c>
      <c r="B36" s="33">
        <f>B30+10</f>
        <v>51</v>
      </c>
      <c r="C36" s="831"/>
      <c r="D36" s="74"/>
      <c r="E36" s="75"/>
      <c r="F36" s="54"/>
      <c r="G36" s="808"/>
      <c r="H36" s="508"/>
      <c r="I36" s="808"/>
      <c r="J36" s="508"/>
      <c r="K36" s="822"/>
    </row>
    <row r="37" spans="1:11">
      <c r="A37" s="829"/>
      <c r="B37" s="33">
        <f>B31+10</f>
        <v>52</v>
      </c>
      <c r="C37" s="832"/>
      <c r="D37" s="76"/>
      <c r="E37" s="482" t="s">
        <v>141</v>
      </c>
      <c r="F37" s="482"/>
      <c r="G37" s="542"/>
      <c r="H37" s="509"/>
      <c r="I37" s="542"/>
      <c r="J37" s="509"/>
      <c r="K37" s="823"/>
    </row>
    <row r="38" spans="1:11">
      <c r="A38" s="829"/>
      <c r="B38" s="33">
        <f>B32+10</f>
        <v>53</v>
      </c>
      <c r="C38" s="832"/>
      <c r="D38" s="77" t="b">
        <v>0</v>
      </c>
      <c r="E38" s="39" t="s">
        <v>395</v>
      </c>
      <c r="G38" s="542"/>
      <c r="H38" s="509"/>
      <c r="I38" s="542"/>
      <c r="J38" s="509"/>
      <c r="K38" s="823"/>
    </row>
    <row r="39" spans="1:11" ht="6.75" customHeight="1">
      <c r="A39" s="829"/>
      <c r="B39" s="33">
        <f>B33+10</f>
        <v>54</v>
      </c>
      <c r="C39" s="832"/>
      <c r="D39" s="72"/>
      <c r="E39" s="39"/>
      <c r="G39" s="542"/>
      <c r="H39" s="509"/>
      <c r="I39" s="542"/>
      <c r="J39" s="509"/>
      <c r="K39" s="823"/>
    </row>
    <row r="40" spans="1:11" ht="29.45" thickBot="1">
      <c r="A40" s="830"/>
      <c r="B40" s="33">
        <f>B34+10</f>
        <v>55</v>
      </c>
      <c r="C40" s="833"/>
      <c r="D40" s="73" t="b">
        <v>0</v>
      </c>
      <c r="E40" s="50" t="s">
        <v>396</v>
      </c>
      <c r="F40" s="59"/>
      <c r="G40" s="810"/>
      <c r="H40" s="510"/>
      <c r="I40" s="810"/>
      <c r="J40" s="510"/>
      <c r="K40" s="824"/>
    </row>
    <row r="41" spans="1:11" ht="6" customHeight="1" thickBot="1">
      <c r="A41" s="85"/>
      <c r="B41" s="85"/>
      <c r="C41" s="165"/>
      <c r="D41" s="28"/>
      <c r="E41" s="27"/>
      <c r="F41" s="27"/>
      <c r="G41" s="165"/>
      <c r="H41" s="119"/>
      <c r="I41" s="165"/>
      <c r="J41" s="119"/>
      <c r="K41" s="165"/>
    </row>
    <row r="42" spans="1:11">
      <c r="A42" s="828">
        <f>A36+1</f>
        <v>6</v>
      </c>
      <c r="B42" s="33">
        <f>B36+10</f>
        <v>61</v>
      </c>
      <c r="C42" s="831"/>
      <c r="D42" s="74"/>
      <c r="E42" s="75"/>
      <c r="F42" s="54"/>
      <c r="G42" s="808"/>
      <c r="H42" s="508"/>
      <c r="I42" s="808"/>
      <c r="J42" s="508"/>
      <c r="K42" s="822"/>
    </row>
    <row r="43" spans="1:11">
      <c r="A43" s="829"/>
      <c r="B43" s="33">
        <f>B37+10</f>
        <v>62</v>
      </c>
      <c r="C43" s="832"/>
      <c r="D43" s="76"/>
      <c r="E43" s="482" t="s">
        <v>141</v>
      </c>
      <c r="F43" s="482"/>
      <c r="G43" s="542"/>
      <c r="H43" s="509"/>
      <c r="I43" s="542"/>
      <c r="J43" s="509"/>
      <c r="K43" s="823"/>
    </row>
    <row r="44" spans="1:11">
      <c r="A44" s="829"/>
      <c r="B44" s="33">
        <f>B38+10</f>
        <v>63</v>
      </c>
      <c r="C44" s="832"/>
      <c r="D44" s="71" t="b">
        <v>0</v>
      </c>
      <c r="E44" s="39" t="s">
        <v>395</v>
      </c>
      <c r="G44" s="542"/>
      <c r="H44" s="509"/>
      <c r="I44" s="542"/>
      <c r="J44" s="509"/>
      <c r="K44" s="823"/>
    </row>
    <row r="45" spans="1:11" ht="6.75" customHeight="1">
      <c r="A45" s="829"/>
      <c r="B45" s="33">
        <f>B39+10</f>
        <v>64</v>
      </c>
      <c r="C45" s="832"/>
      <c r="D45" s="72"/>
      <c r="E45" s="39"/>
      <c r="G45" s="542"/>
      <c r="H45" s="509"/>
      <c r="I45" s="542"/>
      <c r="J45" s="509"/>
      <c r="K45" s="823"/>
    </row>
    <row r="46" spans="1:11" ht="29.45" thickBot="1">
      <c r="A46" s="830"/>
      <c r="B46" s="33">
        <f>B40+10</f>
        <v>65</v>
      </c>
      <c r="C46" s="833"/>
      <c r="D46" s="73" t="b">
        <v>0</v>
      </c>
      <c r="E46" s="50" t="s">
        <v>396</v>
      </c>
      <c r="F46" s="59"/>
      <c r="G46" s="810"/>
      <c r="H46" s="510"/>
      <c r="I46" s="810"/>
      <c r="J46" s="510"/>
      <c r="K46" s="824"/>
    </row>
    <row r="47" spans="1:11" ht="6" customHeight="1" thickBot="1">
      <c r="A47" s="85"/>
      <c r="B47" s="85"/>
      <c r="C47" s="165"/>
      <c r="D47" s="28"/>
      <c r="E47" s="27"/>
      <c r="F47" s="27"/>
      <c r="G47" s="165"/>
      <c r="H47" s="119"/>
      <c r="I47" s="165"/>
      <c r="J47" s="119"/>
      <c r="K47" s="165"/>
    </row>
    <row r="48" spans="1:11">
      <c r="A48" s="828">
        <f>A42+1</f>
        <v>7</v>
      </c>
      <c r="B48" s="33">
        <f>B42+10</f>
        <v>71</v>
      </c>
      <c r="C48" s="831"/>
      <c r="D48" s="74"/>
      <c r="E48" s="75"/>
      <c r="F48" s="54"/>
      <c r="G48" s="808"/>
      <c r="H48" s="508"/>
      <c r="I48" s="808"/>
      <c r="J48" s="508"/>
      <c r="K48" s="822"/>
    </row>
    <row r="49" spans="1:11">
      <c r="A49" s="829"/>
      <c r="B49" s="33">
        <f>B43+10</f>
        <v>72</v>
      </c>
      <c r="C49" s="832"/>
      <c r="D49" s="76"/>
      <c r="E49" s="482" t="s">
        <v>141</v>
      </c>
      <c r="F49" s="482"/>
      <c r="G49" s="542"/>
      <c r="H49" s="509"/>
      <c r="I49" s="542"/>
      <c r="J49" s="509"/>
      <c r="K49" s="823"/>
    </row>
    <row r="50" spans="1:11">
      <c r="A50" s="829"/>
      <c r="B50" s="33">
        <f>B44+10</f>
        <v>73</v>
      </c>
      <c r="C50" s="832"/>
      <c r="D50" s="71" t="b">
        <v>0</v>
      </c>
      <c r="E50" s="39" t="s">
        <v>395</v>
      </c>
      <c r="G50" s="542"/>
      <c r="H50" s="509"/>
      <c r="I50" s="542"/>
      <c r="J50" s="509"/>
      <c r="K50" s="823"/>
    </row>
    <row r="51" spans="1:11" ht="6.75" customHeight="1">
      <c r="A51" s="829"/>
      <c r="B51" s="33">
        <f>B45+10</f>
        <v>74</v>
      </c>
      <c r="C51" s="832"/>
      <c r="D51" s="72"/>
      <c r="E51" s="39"/>
      <c r="G51" s="542"/>
      <c r="H51" s="509"/>
      <c r="I51" s="542"/>
      <c r="J51" s="509"/>
      <c r="K51" s="823"/>
    </row>
    <row r="52" spans="1:11" ht="29.45" thickBot="1">
      <c r="A52" s="830"/>
      <c r="B52" s="33">
        <f>B46+10</f>
        <v>75</v>
      </c>
      <c r="C52" s="833"/>
      <c r="D52" s="73" t="b">
        <v>0</v>
      </c>
      <c r="E52" s="50" t="s">
        <v>396</v>
      </c>
      <c r="F52" s="59"/>
      <c r="G52" s="810"/>
      <c r="H52" s="510"/>
      <c r="I52" s="810"/>
      <c r="J52" s="510"/>
      <c r="K52" s="824"/>
    </row>
    <row r="53" spans="1:11" ht="6" customHeight="1" thickBot="1">
      <c r="A53" s="85"/>
      <c r="B53" s="85"/>
      <c r="C53" s="165"/>
      <c r="D53" s="28"/>
      <c r="E53" s="27"/>
      <c r="F53" s="27"/>
      <c r="G53" s="165"/>
      <c r="H53" s="119"/>
      <c r="I53" s="165"/>
      <c r="J53" s="119"/>
      <c r="K53" s="165"/>
    </row>
    <row r="54" spans="1:11">
      <c r="A54" s="828">
        <f>A48+1</f>
        <v>8</v>
      </c>
      <c r="B54" s="33">
        <f>B48+10</f>
        <v>81</v>
      </c>
      <c r="C54" s="831"/>
      <c r="D54" s="74"/>
      <c r="E54" s="75"/>
      <c r="F54" s="54"/>
      <c r="G54" s="808"/>
      <c r="H54" s="508"/>
      <c r="I54" s="808"/>
      <c r="J54" s="508"/>
      <c r="K54" s="822"/>
    </row>
    <row r="55" spans="1:11">
      <c r="A55" s="829"/>
      <c r="B55" s="33">
        <f>B49+10</f>
        <v>82</v>
      </c>
      <c r="C55" s="832"/>
      <c r="D55" s="76"/>
      <c r="E55" s="482" t="s">
        <v>141</v>
      </c>
      <c r="F55" s="482"/>
      <c r="G55" s="542"/>
      <c r="H55" s="509"/>
      <c r="I55" s="542"/>
      <c r="J55" s="509"/>
      <c r="K55" s="823"/>
    </row>
    <row r="56" spans="1:11">
      <c r="A56" s="829"/>
      <c r="B56" s="33">
        <f>B50+10</f>
        <v>83</v>
      </c>
      <c r="C56" s="832"/>
      <c r="D56" s="71" t="b">
        <v>0</v>
      </c>
      <c r="E56" s="39" t="s">
        <v>395</v>
      </c>
      <c r="G56" s="542"/>
      <c r="H56" s="509"/>
      <c r="I56" s="542"/>
      <c r="J56" s="509"/>
      <c r="K56" s="823"/>
    </row>
    <row r="57" spans="1:11" ht="6.75" customHeight="1">
      <c r="A57" s="829"/>
      <c r="B57" s="33">
        <f>B51+10</f>
        <v>84</v>
      </c>
      <c r="C57" s="832"/>
      <c r="D57" s="72"/>
      <c r="E57" s="39"/>
      <c r="G57" s="542"/>
      <c r="H57" s="509"/>
      <c r="I57" s="542"/>
      <c r="J57" s="509"/>
      <c r="K57" s="823"/>
    </row>
    <row r="58" spans="1:11" ht="29.45" thickBot="1">
      <c r="A58" s="830"/>
      <c r="B58" s="33">
        <f>B52+10</f>
        <v>85</v>
      </c>
      <c r="C58" s="833"/>
      <c r="D58" s="73" t="b">
        <v>0</v>
      </c>
      <c r="E58" s="50" t="s">
        <v>396</v>
      </c>
      <c r="F58" s="59"/>
      <c r="G58" s="810"/>
      <c r="H58" s="510"/>
      <c r="I58" s="810"/>
      <c r="J58" s="510"/>
      <c r="K58" s="824"/>
    </row>
    <row r="59" spans="1:11" ht="6" customHeight="1" thickBot="1">
      <c r="A59" s="85"/>
      <c r="B59" s="85"/>
      <c r="C59" s="165"/>
      <c r="D59" s="28"/>
      <c r="E59" s="27"/>
      <c r="F59" s="27"/>
      <c r="G59" s="165"/>
      <c r="H59" s="119"/>
      <c r="I59" s="165"/>
      <c r="J59" s="119"/>
      <c r="K59" s="165"/>
    </row>
    <row r="60" spans="1:11">
      <c r="A60" s="828">
        <f>A54+1</f>
        <v>9</v>
      </c>
      <c r="B60" s="33">
        <f>B54+10</f>
        <v>91</v>
      </c>
      <c r="C60" s="831"/>
      <c r="D60" s="74"/>
      <c r="E60" s="75"/>
      <c r="F60" s="54"/>
      <c r="G60" s="808"/>
      <c r="H60" s="508"/>
      <c r="I60" s="808"/>
      <c r="J60" s="508"/>
      <c r="K60" s="822"/>
    </row>
    <row r="61" spans="1:11">
      <c r="A61" s="829"/>
      <c r="B61" s="33">
        <f>B55+10</f>
        <v>92</v>
      </c>
      <c r="C61" s="832"/>
      <c r="D61" s="76"/>
      <c r="E61" s="482" t="s">
        <v>141</v>
      </c>
      <c r="F61" s="482"/>
      <c r="G61" s="542"/>
      <c r="H61" s="509"/>
      <c r="I61" s="542"/>
      <c r="J61" s="509"/>
      <c r="K61" s="823"/>
    </row>
    <row r="62" spans="1:11">
      <c r="A62" s="829"/>
      <c r="B62" s="33">
        <f>B56+10</f>
        <v>93</v>
      </c>
      <c r="C62" s="832"/>
      <c r="D62" s="71" t="b">
        <v>0</v>
      </c>
      <c r="E62" s="39" t="s">
        <v>395</v>
      </c>
      <c r="G62" s="542"/>
      <c r="H62" s="509"/>
      <c r="I62" s="542"/>
      <c r="J62" s="509"/>
      <c r="K62" s="823"/>
    </row>
    <row r="63" spans="1:11" ht="6.75" customHeight="1">
      <c r="A63" s="829"/>
      <c r="B63" s="33">
        <f>B57+10</f>
        <v>94</v>
      </c>
      <c r="C63" s="832"/>
      <c r="D63" s="72"/>
      <c r="E63" s="39"/>
      <c r="G63" s="542"/>
      <c r="H63" s="509"/>
      <c r="I63" s="542"/>
      <c r="J63" s="509"/>
      <c r="K63" s="823"/>
    </row>
    <row r="64" spans="1:11" ht="29.45" thickBot="1">
      <c r="A64" s="830"/>
      <c r="B64" s="33">
        <f>B58+10</f>
        <v>95</v>
      </c>
      <c r="C64" s="833"/>
      <c r="D64" s="73" t="b">
        <v>0</v>
      </c>
      <c r="E64" s="50" t="s">
        <v>396</v>
      </c>
      <c r="F64" s="59"/>
      <c r="G64" s="810"/>
      <c r="H64" s="510"/>
      <c r="I64" s="810"/>
      <c r="J64" s="510"/>
      <c r="K64" s="824"/>
    </row>
    <row r="65" spans="1:11" ht="6" customHeight="1" thickBot="1">
      <c r="A65" s="85"/>
      <c r="B65" s="85"/>
      <c r="C65" s="165"/>
      <c r="D65" s="28"/>
      <c r="E65" s="27"/>
      <c r="F65" s="27"/>
      <c r="G65" s="165"/>
      <c r="H65" s="119"/>
      <c r="I65" s="165"/>
      <c r="J65" s="119"/>
      <c r="K65" s="165"/>
    </row>
    <row r="66" spans="1:11">
      <c r="A66" s="828">
        <f>A60+1</f>
        <v>10</v>
      </c>
      <c r="B66" s="33">
        <f>B60+10</f>
        <v>101</v>
      </c>
      <c r="C66" s="831"/>
      <c r="D66" s="74"/>
      <c r="E66" s="75"/>
      <c r="F66" s="54"/>
      <c r="G66" s="808"/>
      <c r="H66" s="508"/>
      <c r="I66" s="808"/>
      <c r="J66" s="508"/>
      <c r="K66" s="822"/>
    </row>
    <row r="67" spans="1:11">
      <c r="A67" s="829"/>
      <c r="B67" s="33">
        <f>B61+10</f>
        <v>102</v>
      </c>
      <c r="C67" s="832"/>
      <c r="D67" s="76"/>
      <c r="E67" s="482" t="s">
        <v>141</v>
      </c>
      <c r="F67" s="482"/>
      <c r="G67" s="542"/>
      <c r="H67" s="509"/>
      <c r="I67" s="542"/>
      <c r="J67" s="509"/>
      <c r="K67" s="823"/>
    </row>
    <row r="68" spans="1:11">
      <c r="A68" s="829"/>
      <c r="B68" s="33">
        <f>B62+10</f>
        <v>103</v>
      </c>
      <c r="C68" s="832"/>
      <c r="D68" s="71" t="b">
        <v>0</v>
      </c>
      <c r="E68" s="39" t="s">
        <v>395</v>
      </c>
      <c r="G68" s="542"/>
      <c r="H68" s="509"/>
      <c r="I68" s="542"/>
      <c r="J68" s="509"/>
      <c r="K68" s="823"/>
    </row>
    <row r="69" spans="1:11" ht="6.75" customHeight="1">
      <c r="A69" s="829"/>
      <c r="B69" s="33">
        <f>B63+10</f>
        <v>104</v>
      </c>
      <c r="C69" s="832"/>
      <c r="D69" s="72"/>
      <c r="E69" s="39"/>
      <c r="G69" s="542"/>
      <c r="H69" s="509"/>
      <c r="I69" s="542"/>
      <c r="J69" s="509"/>
      <c r="K69" s="823"/>
    </row>
    <row r="70" spans="1:11" ht="29.45" thickBot="1">
      <c r="A70" s="830"/>
      <c r="B70" s="33">
        <f>B64+10</f>
        <v>105</v>
      </c>
      <c r="C70" s="833"/>
      <c r="D70" s="73" t="b">
        <v>0</v>
      </c>
      <c r="E70" s="50" t="s">
        <v>396</v>
      </c>
      <c r="F70" s="59"/>
      <c r="G70" s="810"/>
      <c r="H70" s="510"/>
      <c r="I70" s="810"/>
      <c r="J70" s="510"/>
      <c r="K70" s="824"/>
    </row>
    <row r="71" spans="1:11" ht="6" customHeight="1" thickBot="1">
      <c r="A71" s="85"/>
      <c r="B71" s="85"/>
      <c r="C71" s="165"/>
      <c r="D71" s="28"/>
      <c r="E71" s="27"/>
      <c r="F71" s="27"/>
      <c r="G71" s="165"/>
      <c r="H71" s="119"/>
      <c r="I71" s="165"/>
      <c r="J71" s="119"/>
      <c r="K71" s="165"/>
    </row>
    <row r="72" spans="1:11">
      <c r="A72" s="828">
        <f>A66+1</f>
        <v>11</v>
      </c>
      <c r="B72" s="33">
        <f>B66+10</f>
        <v>111</v>
      </c>
      <c r="C72" s="831"/>
      <c r="D72" s="74"/>
      <c r="E72" s="75"/>
      <c r="F72" s="54"/>
      <c r="G72" s="808"/>
      <c r="H72" s="508"/>
      <c r="I72" s="808"/>
      <c r="J72" s="508"/>
      <c r="K72" s="822"/>
    </row>
    <row r="73" spans="1:11">
      <c r="A73" s="829"/>
      <c r="B73" s="33">
        <f>B67+10</f>
        <v>112</v>
      </c>
      <c r="C73" s="832"/>
      <c r="D73" s="76"/>
      <c r="E73" s="482" t="s">
        <v>141</v>
      </c>
      <c r="F73" s="482"/>
      <c r="G73" s="542"/>
      <c r="H73" s="509"/>
      <c r="I73" s="542"/>
      <c r="J73" s="509"/>
      <c r="K73" s="823"/>
    </row>
    <row r="74" spans="1:11">
      <c r="A74" s="829"/>
      <c r="B74" s="33">
        <f>B68+10</f>
        <v>113</v>
      </c>
      <c r="C74" s="832"/>
      <c r="D74" s="71" t="b">
        <v>0</v>
      </c>
      <c r="E74" s="39" t="s">
        <v>395</v>
      </c>
      <c r="G74" s="542"/>
      <c r="H74" s="509"/>
      <c r="I74" s="542"/>
      <c r="J74" s="509"/>
      <c r="K74" s="823"/>
    </row>
    <row r="75" spans="1:11" ht="6.75" customHeight="1">
      <c r="A75" s="829"/>
      <c r="B75" s="33">
        <f>B69+10</f>
        <v>114</v>
      </c>
      <c r="C75" s="832"/>
      <c r="D75" s="72"/>
      <c r="E75" s="39"/>
      <c r="G75" s="542"/>
      <c r="H75" s="509"/>
      <c r="I75" s="542"/>
      <c r="J75" s="509"/>
      <c r="K75" s="823"/>
    </row>
    <row r="76" spans="1:11" ht="29.45" thickBot="1">
      <c r="A76" s="830"/>
      <c r="B76" s="33">
        <f>B70+10</f>
        <v>115</v>
      </c>
      <c r="C76" s="833"/>
      <c r="D76" s="73" t="b">
        <v>0</v>
      </c>
      <c r="E76" s="50" t="s">
        <v>396</v>
      </c>
      <c r="F76" s="59"/>
      <c r="G76" s="810"/>
      <c r="H76" s="510"/>
      <c r="I76" s="810"/>
      <c r="J76" s="510"/>
      <c r="K76" s="824"/>
    </row>
    <row r="77" spans="1:11" ht="6" customHeight="1" thickBot="1">
      <c r="A77" s="85"/>
      <c r="B77" s="85"/>
      <c r="C77" s="165"/>
      <c r="D77" s="28"/>
      <c r="E77" s="27"/>
      <c r="F77" s="27"/>
      <c r="G77" s="165"/>
      <c r="H77" s="119"/>
      <c r="I77" s="165"/>
      <c r="J77" s="119"/>
      <c r="K77" s="165"/>
    </row>
    <row r="78" spans="1:11">
      <c r="A78" s="828">
        <f>A72+1</f>
        <v>12</v>
      </c>
      <c r="B78" s="33">
        <f>B72+10</f>
        <v>121</v>
      </c>
      <c r="C78" s="831"/>
      <c r="D78" s="74"/>
      <c r="E78" s="75"/>
      <c r="F78" s="54"/>
      <c r="G78" s="808"/>
      <c r="H78" s="508"/>
      <c r="I78" s="808"/>
      <c r="J78" s="508"/>
      <c r="K78" s="822"/>
    </row>
    <row r="79" spans="1:11">
      <c r="A79" s="829"/>
      <c r="B79" s="33">
        <f>B73+10</f>
        <v>122</v>
      </c>
      <c r="C79" s="832"/>
      <c r="D79" s="76"/>
      <c r="E79" s="482" t="s">
        <v>141</v>
      </c>
      <c r="F79" s="482"/>
      <c r="G79" s="542"/>
      <c r="H79" s="509"/>
      <c r="I79" s="542"/>
      <c r="J79" s="509"/>
      <c r="K79" s="823"/>
    </row>
    <row r="80" spans="1:11">
      <c r="A80" s="829"/>
      <c r="B80" s="33">
        <f>B74+10</f>
        <v>123</v>
      </c>
      <c r="C80" s="832"/>
      <c r="D80" s="71" t="b">
        <v>0</v>
      </c>
      <c r="E80" s="39" t="s">
        <v>395</v>
      </c>
      <c r="G80" s="542"/>
      <c r="H80" s="509"/>
      <c r="I80" s="542"/>
      <c r="J80" s="509"/>
      <c r="K80" s="823"/>
    </row>
    <row r="81" spans="1:11" ht="6.75" customHeight="1">
      <c r="A81" s="829"/>
      <c r="B81" s="33">
        <f>B75+10</f>
        <v>124</v>
      </c>
      <c r="C81" s="832"/>
      <c r="D81" s="72"/>
      <c r="E81" s="39"/>
      <c r="G81" s="542"/>
      <c r="H81" s="509"/>
      <c r="I81" s="542"/>
      <c r="J81" s="509"/>
      <c r="K81" s="823"/>
    </row>
    <row r="82" spans="1:11" ht="29.45" thickBot="1">
      <c r="A82" s="830"/>
      <c r="B82" s="33">
        <f>B76+10</f>
        <v>125</v>
      </c>
      <c r="C82" s="833"/>
      <c r="D82" s="73" t="b">
        <v>0</v>
      </c>
      <c r="E82" s="50" t="s">
        <v>396</v>
      </c>
      <c r="F82" s="59"/>
      <c r="G82" s="810"/>
      <c r="H82" s="510"/>
      <c r="I82" s="810"/>
      <c r="J82" s="510"/>
      <c r="K82" s="824"/>
    </row>
    <row r="83" spans="1:11" ht="6" customHeight="1" thickBot="1">
      <c r="A83" s="85"/>
      <c r="B83" s="85"/>
      <c r="C83" s="165"/>
      <c r="D83" s="28"/>
      <c r="E83" s="27"/>
      <c r="F83" s="27"/>
      <c r="G83" s="165"/>
      <c r="H83" s="119"/>
      <c r="I83" s="165"/>
      <c r="J83" s="119"/>
      <c r="K83" s="165"/>
    </row>
    <row r="84" spans="1:11">
      <c r="A84" s="828">
        <f>A78+1</f>
        <v>13</v>
      </c>
      <c r="B84" s="33">
        <f>B78+10</f>
        <v>131</v>
      </c>
      <c r="C84" s="831"/>
      <c r="D84" s="74"/>
      <c r="E84" s="75"/>
      <c r="F84" s="54"/>
      <c r="G84" s="808"/>
      <c r="H84" s="508"/>
      <c r="I84" s="808"/>
      <c r="J84" s="508"/>
      <c r="K84" s="822"/>
    </row>
    <row r="85" spans="1:11">
      <c r="A85" s="829"/>
      <c r="B85" s="33">
        <f>B79+10</f>
        <v>132</v>
      </c>
      <c r="C85" s="832"/>
      <c r="D85" s="76"/>
      <c r="E85" s="482" t="s">
        <v>141</v>
      </c>
      <c r="F85" s="482"/>
      <c r="G85" s="542"/>
      <c r="H85" s="509"/>
      <c r="I85" s="542"/>
      <c r="J85" s="509"/>
      <c r="K85" s="823"/>
    </row>
    <row r="86" spans="1:11">
      <c r="A86" s="829"/>
      <c r="B86" s="33">
        <f>B80+10</f>
        <v>133</v>
      </c>
      <c r="C86" s="832"/>
      <c r="D86" s="71" t="b">
        <v>0</v>
      </c>
      <c r="E86" s="39" t="s">
        <v>395</v>
      </c>
      <c r="G86" s="542"/>
      <c r="H86" s="509"/>
      <c r="I86" s="542"/>
      <c r="J86" s="509"/>
      <c r="K86" s="823"/>
    </row>
    <row r="87" spans="1:11" ht="6.75" customHeight="1">
      <c r="A87" s="829"/>
      <c r="B87" s="33">
        <f>B81+10</f>
        <v>134</v>
      </c>
      <c r="C87" s="832"/>
      <c r="D87" s="72"/>
      <c r="E87" s="39"/>
      <c r="G87" s="542"/>
      <c r="H87" s="509"/>
      <c r="I87" s="542"/>
      <c r="J87" s="509"/>
      <c r="K87" s="823"/>
    </row>
    <row r="88" spans="1:11" ht="29.45" thickBot="1">
      <c r="A88" s="830"/>
      <c r="B88" s="33">
        <f>B82+10</f>
        <v>135</v>
      </c>
      <c r="C88" s="833"/>
      <c r="D88" s="73" t="b">
        <v>0</v>
      </c>
      <c r="E88" s="50" t="s">
        <v>396</v>
      </c>
      <c r="F88" s="59"/>
      <c r="G88" s="810"/>
      <c r="H88" s="510"/>
      <c r="I88" s="810"/>
      <c r="J88" s="510"/>
      <c r="K88" s="824"/>
    </row>
    <row r="89" spans="1:11" ht="6" customHeight="1" thickBot="1">
      <c r="A89" s="85"/>
      <c r="B89" s="85"/>
      <c r="C89" s="165"/>
      <c r="D89" s="28"/>
      <c r="E89" s="27"/>
      <c r="F89" s="27"/>
      <c r="G89" s="165"/>
      <c r="H89" s="119"/>
      <c r="I89" s="165"/>
      <c r="J89" s="119"/>
      <c r="K89" s="165"/>
    </row>
    <row r="90" spans="1:11">
      <c r="A90" s="828">
        <f>A84+1</f>
        <v>14</v>
      </c>
      <c r="B90" s="33">
        <f>B84+10</f>
        <v>141</v>
      </c>
      <c r="C90" s="831"/>
      <c r="D90" s="74"/>
      <c r="E90" s="75"/>
      <c r="F90" s="54"/>
      <c r="G90" s="808"/>
      <c r="H90" s="508"/>
      <c r="I90" s="808"/>
      <c r="J90" s="508"/>
      <c r="K90" s="822"/>
    </row>
    <row r="91" spans="1:11">
      <c r="A91" s="829"/>
      <c r="B91" s="33">
        <f>B85+10</f>
        <v>142</v>
      </c>
      <c r="C91" s="832"/>
      <c r="D91" s="76"/>
      <c r="E91" s="482" t="s">
        <v>141</v>
      </c>
      <c r="F91" s="482"/>
      <c r="G91" s="542"/>
      <c r="H91" s="509"/>
      <c r="I91" s="542"/>
      <c r="J91" s="509"/>
      <c r="K91" s="823"/>
    </row>
    <row r="92" spans="1:11">
      <c r="A92" s="829"/>
      <c r="B92" s="33">
        <f>B86+10</f>
        <v>143</v>
      </c>
      <c r="C92" s="832"/>
      <c r="D92" s="71" t="b">
        <v>0</v>
      </c>
      <c r="E92" s="39" t="s">
        <v>395</v>
      </c>
      <c r="G92" s="542"/>
      <c r="H92" s="509"/>
      <c r="I92" s="542"/>
      <c r="J92" s="509"/>
      <c r="K92" s="823"/>
    </row>
    <row r="93" spans="1:11" ht="6.75" customHeight="1">
      <c r="A93" s="829"/>
      <c r="B93" s="33">
        <f>B87+10</f>
        <v>144</v>
      </c>
      <c r="C93" s="832"/>
      <c r="D93" s="72"/>
      <c r="E93" s="39"/>
      <c r="G93" s="542"/>
      <c r="H93" s="509"/>
      <c r="I93" s="542"/>
      <c r="J93" s="509"/>
      <c r="K93" s="823"/>
    </row>
    <row r="94" spans="1:11" ht="29.45" thickBot="1">
      <c r="A94" s="830"/>
      <c r="B94" s="33">
        <f>B88+10</f>
        <v>145</v>
      </c>
      <c r="C94" s="833"/>
      <c r="D94" s="73" t="b">
        <v>0</v>
      </c>
      <c r="E94" s="50" t="s">
        <v>396</v>
      </c>
      <c r="F94" s="59"/>
      <c r="G94" s="810"/>
      <c r="H94" s="510"/>
      <c r="I94" s="810"/>
      <c r="J94" s="510"/>
      <c r="K94" s="824"/>
    </row>
    <row r="95" spans="1:11" ht="6" customHeight="1" thickBot="1">
      <c r="A95" s="85"/>
      <c r="B95" s="85"/>
      <c r="C95" s="165"/>
      <c r="D95" s="28"/>
      <c r="E95" s="27"/>
      <c r="F95" s="27"/>
      <c r="G95" s="165"/>
      <c r="H95" s="119"/>
      <c r="I95" s="165"/>
      <c r="J95" s="119"/>
      <c r="K95" s="165"/>
    </row>
    <row r="96" spans="1:11">
      <c r="A96" s="828">
        <f>A90+1</f>
        <v>15</v>
      </c>
      <c r="B96" s="33">
        <f>B90+10</f>
        <v>151</v>
      </c>
      <c r="C96" s="831"/>
      <c r="D96" s="74"/>
      <c r="E96" s="75"/>
      <c r="F96" s="54"/>
      <c r="G96" s="808"/>
      <c r="H96" s="508"/>
      <c r="I96" s="808"/>
      <c r="J96" s="508"/>
      <c r="K96" s="822"/>
    </row>
    <row r="97" spans="1:11">
      <c r="A97" s="829"/>
      <c r="B97" s="33">
        <f>B91+10</f>
        <v>152</v>
      </c>
      <c r="C97" s="832"/>
      <c r="D97" s="76"/>
      <c r="E97" s="482" t="s">
        <v>141</v>
      </c>
      <c r="F97" s="482"/>
      <c r="G97" s="542"/>
      <c r="H97" s="509"/>
      <c r="I97" s="542"/>
      <c r="J97" s="509"/>
      <c r="K97" s="823"/>
    </row>
    <row r="98" spans="1:11">
      <c r="A98" s="829"/>
      <c r="B98" s="33">
        <f>B92+10</f>
        <v>153</v>
      </c>
      <c r="C98" s="832"/>
      <c r="D98" s="71" t="b">
        <v>1</v>
      </c>
      <c r="E98" s="39" t="s">
        <v>395</v>
      </c>
      <c r="G98" s="542"/>
      <c r="H98" s="509"/>
      <c r="I98" s="542"/>
      <c r="J98" s="509"/>
      <c r="K98" s="823"/>
    </row>
    <row r="99" spans="1:11" ht="6.75" customHeight="1">
      <c r="A99" s="829"/>
      <c r="B99" s="33">
        <f>B93+10</f>
        <v>154</v>
      </c>
      <c r="C99" s="832"/>
      <c r="D99" s="72"/>
      <c r="E99" s="39"/>
      <c r="G99" s="542"/>
      <c r="H99" s="509"/>
      <c r="I99" s="542"/>
      <c r="J99" s="509"/>
      <c r="K99" s="823"/>
    </row>
    <row r="100" spans="1:11" ht="29.45" thickBot="1">
      <c r="A100" s="830"/>
      <c r="B100" s="33">
        <f>B94+10</f>
        <v>155</v>
      </c>
      <c r="C100" s="833"/>
      <c r="D100" s="73" t="b">
        <v>0</v>
      </c>
      <c r="E100" s="50" t="s">
        <v>396</v>
      </c>
      <c r="F100" s="59"/>
      <c r="G100" s="810"/>
      <c r="H100" s="510"/>
      <c r="I100" s="810"/>
      <c r="J100" s="510"/>
      <c r="K100" s="824"/>
    </row>
    <row r="101" spans="1:11" ht="6" customHeight="1" thickBot="1">
      <c r="A101" s="85"/>
      <c r="B101" s="85"/>
      <c r="C101" s="165"/>
      <c r="D101" s="28"/>
      <c r="E101" s="27"/>
      <c r="F101" s="27"/>
      <c r="G101" s="165"/>
      <c r="H101" s="119"/>
      <c r="I101" s="165"/>
      <c r="J101" s="119"/>
      <c r="K101" s="165"/>
    </row>
    <row r="102" spans="1:11">
      <c r="A102" s="828">
        <f>A96+1</f>
        <v>16</v>
      </c>
      <c r="B102" s="33">
        <f>B96+10</f>
        <v>161</v>
      </c>
      <c r="C102" s="831"/>
      <c r="D102" s="74"/>
      <c r="E102" s="75"/>
      <c r="F102" s="54"/>
      <c r="G102" s="808"/>
      <c r="H102" s="508"/>
      <c r="I102" s="808"/>
      <c r="J102" s="508"/>
      <c r="K102" s="822"/>
    </row>
    <row r="103" spans="1:11">
      <c r="A103" s="829"/>
      <c r="B103" s="33">
        <f>B97+10</f>
        <v>162</v>
      </c>
      <c r="C103" s="832"/>
      <c r="D103" s="76"/>
      <c r="E103" s="482" t="s">
        <v>141</v>
      </c>
      <c r="F103" s="482"/>
      <c r="G103" s="542"/>
      <c r="H103" s="509"/>
      <c r="I103" s="542"/>
      <c r="J103" s="509"/>
      <c r="K103" s="823"/>
    </row>
    <row r="104" spans="1:11">
      <c r="A104" s="829"/>
      <c r="B104" s="33">
        <f>B98+10</f>
        <v>163</v>
      </c>
      <c r="C104" s="832"/>
      <c r="D104" s="71" t="b">
        <v>0</v>
      </c>
      <c r="E104" s="39" t="s">
        <v>395</v>
      </c>
      <c r="G104" s="542"/>
      <c r="H104" s="509"/>
      <c r="I104" s="542"/>
      <c r="J104" s="509"/>
      <c r="K104" s="823"/>
    </row>
    <row r="105" spans="1:11" ht="6.75" customHeight="1">
      <c r="A105" s="829"/>
      <c r="B105" s="33">
        <f>B99+10</f>
        <v>164</v>
      </c>
      <c r="C105" s="832"/>
      <c r="D105" s="72"/>
      <c r="E105" s="39"/>
      <c r="G105" s="542"/>
      <c r="H105" s="509"/>
      <c r="I105" s="542"/>
      <c r="J105" s="509"/>
      <c r="K105" s="823"/>
    </row>
    <row r="106" spans="1:11" ht="29.45" thickBot="1">
      <c r="A106" s="830"/>
      <c r="B106" s="33">
        <f>B100+10</f>
        <v>165</v>
      </c>
      <c r="C106" s="833"/>
      <c r="D106" s="73" t="b">
        <v>0</v>
      </c>
      <c r="E106" s="50" t="s">
        <v>396</v>
      </c>
      <c r="F106" s="59"/>
      <c r="G106" s="810"/>
      <c r="H106" s="510"/>
      <c r="I106" s="810"/>
      <c r="J106" s="510"/>
      <c r="K106" s="824"/>
    </row>
    <row r="107" spans="1:11" ht="6" customHeight="1" thickBot="1">
      <c r="A107" s="85"/>
      <c r="B107" s="85"/>
      <c r="C107" s="165"/>
      <c r="D107" s="28"/>
      <c r="E107" s="27"/>
      <c r="F107" s="27"/>
      <c r="G107" s="165"/>
      <c r="H107" s="119"/>
      <c r="I107" s="165"/>
      <c r="J107" s="119"/>
      <c r="K107" s="165"/>
    </row>
    <row r="108" spans="1:11">
      <c r="A108" s="828">
        <f>A102+1</f>
        <v>17</v>
      </c>
      <c r="B108" s="33">
        <f>B102+10</f>
        <v>171</v>
      </c>
      <c r="C108" s="831"/>
      <c r="D108" s="74"/>
      <c r="E108" s="75"/>
      <c r="F108" s="54"/>
      <c r="G108" s="808"/>
      <c r="H108" s="508"/>
      <c r="I108" s="808"/>
      <c r="J108" s="508"/>
      <c r="K108" s="822"/>
    </row>
    <row r="109" spans="1:11">
      <c r="A109" s="829"/>
      <c r="B109" s="33">
        <f>B103+10</f>
        <v>172</v>
      </c>
      <c r="C109" s="832"/>
      <c r="D109" s="76"/>
      <c r="E109" s="482" t="s">
        <v>141</v>
      </c>
      <c r="F109" s="482"/>
      <c r="G109" s="542"/>
      <c r="H109" s="509"/>
      <c r="I109" s="542"/>
      <c r="J109" s="509"/>
      <c r="K109" s="823"/>
    </row>
    <row r="110" spans="1:11">
      <c r="A110" s="829"/>
      <c r="B110" s="33">
        <f>B104+10</f>
        <v>173</v>
      </c>
      <c r="C110" s="832"/>
      <c r="D110" s="71" t="b">
        <v>0</v>
      </c>
      <c r="E110" s="39" t="s">
        <v>395</v>
      </c>
      <c r="G110" s="542"/>
      <c r="H110" s="509"/>
      <c r="I110" s="542"/>
      <c r="J110" s="509"/>
      <c r="K110" s="823"/>
    </row>
    <row r="111" spans="1:11" ht="6.75" customHeight="1">
      <c r="A111" s="829"/>
      <c r="B111" s="33">
        <f>B105+10</f>
        <v>174</v>
      </c>
      <c r="C111" s="832"/>
      <c r="D111" s="72"/>
      <c r="E111" s="39"/>
      <c r="G111" s="542"/>
      <c r="H111" s="509"/>
      <c r="I111" s="542"/>
      <c r="J111" s="509"/>
      <c r="K111" s="823"/>
    </row>
    <row r="112" spans="1:11" ht="29.45" thickBot="1">
      <c r="A112" s="830"/>
      <c r="B112" s="33">
        <f>B106+10</f>
        <v>175</v>
      </c>
      <c r="C112" s="833"/>
      <c r="D112" s="73" t="b">
        <v>0</v>
      </c>
      <c r="E112" s="50" t="s">
        <v>396</v>
      </c>
      <c r="F112" s="59"/>
      <c r="G112" s="810"/>
      <c r="H112" s="510"/>
      <c r="I112" s="810"/>
      <c r="J112" s="510"/>
      <c r="K112" s="824"/>
    </row>
    <row r="113" spans="1:11" ht="6" customHeight="1" thickBot="1">
      <c r="A113" s="85"/>
      <c r="B113" s="85"/>
      <c r="C113" s="165"/>
      <c r="D113" s="28"/>
      <c r="E113" s="27"/>
      <c r="F113" s="27"/>
      <c r="G113" s="165"/>
      <c r="H113" s="119"/>
      <c r="I113" s="165"/>
      <c r="J113" s="119"/>
      <c r="K113" s="165"/>
    </row>
    <row r="114" spans="1:11">
      <c r="A114" s="828">
        <f>A108+1</f>
        <v>18</v>
      </c>
      <c r="B114" s="33">
        <f>B108+10</f>
        <v>181</v>
      </c>
      <c r="C114" s="831"/>
      <c r="D114" s="74"/>
      <c r="E114" s="75"/>
      <c r="F114" s="54"/>
      <c r="G114" s="808"/>
      <c r="H114" s="508"/>
      <c r="I114" s="808"/>
      <c r="J114" s="508"/>
      <c r="K114" s="822"/>
    </row>
    <row r="115" spans="1:11">
      <c r="A115" s="829"/>
      <c r="B115" s="33">
        <f>B109+10</f>
        <v>182</v>
      </c>
      <c r="C115" s="832"/>
      <c r="D115" s="76"/>
      <c r="E115" s="482" t="s">
        <v>141</v>
      </c>
      <c r="F115" s="482"/>
      <c r="G115" s="542"/>
      <c r="H115" s="509"/>
      <c r="I115" s="542"/>
      <c r="J115" s="509"/>
      <c r="K115" s="823"/>
    </row>
    <row r="116" spans="1:11">
      <c r="A116" s="829"/>
      <c r="B116" s="33">
        <f>B110+10</f>
        <v>183</v>
      </c>
      <c r="C116" s="832"/>
      <c r="D116" s="71" t="b">
        <v>0</v>
      </c>
      <c r="E116" s="39" t="s">
        <v>395</v>
      </c>
      <c r="G116" s="542"/>
      <c r="H116" s="509"/>
      <c r="I116" s="542"/>
      <c r="J116" s="509"/>
      <c r="K116" s="823"/>
    </row>
    <row r="117" spans="1:11" ht="6.75" customHeight="1">
      <c r="A117" s="829"/>
      <c r="B117" s="33">
        <f>B111+10</f>
        <v>184</v>
      </c>
      <c r="C117" s="832"/>
      <c r="D117" s="72"/>
      <c r="E117" s="39"/>
      <c r="G117" s="542"/>
      <c r="H117" s="509"/>
      <c r="I117" s="542"/>
      <c r="J117" s="509"/>
      <c r="K117" s="823"/>
    </row>
    <row r="118" spans="1:11" ht="29.45" thickBot="1">
      <c r="A118" s="830"/>
      <c r="B118" s="33">
        <f>B112+10</f>
        <v>185</v>
      </c>
      <c r="C118" s="833"/>
      <c r="D118" s="73" t="b">
        <v>0</v>
      </c>
      <c r="E118" s="50" t="s">
        <v>396</v>
      </c>
      <c r="F118" s="59"/>
      <c r="G118" s="810"/>
      <c r="H118" s="510"/>
      <c r="I118" s="810"/>
      <c r="J118" s="510"/>
      <c r="K118" s="824"/>
    </row>
    <row r="119" spans="1:11" ht="6" customHeight="1" thickBot="1">
      <c r="A119" s="85"/>
      <c r="B119" s="85"/>
      <c r="C119" s="165"/>
      <c r="D119" s="28"/>
      <c r="E119" s="27"/>
      <c r="F119" s="27"/>
      <c r="G119" s="165"/>
      <c r="H119" s="119"/>
      <c r="I119" s="165"/>
      <c r="J119" s="119"/>
      <c r="K119" s="165"/>
    </row>
    <row r="120" spans="1:11">
      <c r="A120" s="828">
        <f>A114+1</f>
        <v>19</v>
      </c>
      <c r="B120" s="33">
        <f>B114+10</f>
        <v>191</v>
      </c>
      <c r="C120" s="831"/>
      <c r="D120" s="74"/>
      <c r="E120" s="75"/>
      <c r="F120" s="54"/>
      <c r="G120" s="808"/>
      <c r="H120" s="508"/>
      <c r="I120" s="808"/>
      <c r="J120" s="508"/>
      <c r="K120" s="822"/>
    </row>
    <row r="121" spans="1:11">
      <c r="A121" s="829"/>
      <c r="B121" s="33">
        <f>B115+10</f>
        <v>192</v>
      </c>
      <c r="C121" s="832"/>
      <c r="D121" s="76"/>
      <c r="E121" s="482" t="s">
        <v>141</v>
      </c>
      <c r="F121" s="482"/>
      <c r="G121" s="542"/>
      <c r="H121" s="509"/>
      <c r="I121" s="542"/>
      <c r="J121" s="509"/>
      <c r="K121" s="823"/>
    </row>
    <row r="122" spans="1:11">
      <c r="A122" s="829"/>
      <c r="B122" s="33">
        <f>B116+10</f>
        <v>193</v>
      </c>
      <c r="C122" s="832"/>
      <c r="D122" s="71" t="b">
        <v>0</v>
      </c>
      <c r="E122" s="39" t="s">
        <v>395</v>
      </c>
      <c r="G122" s="542"/>
      <c r="H122" s="509"/>
      <c r="I122" s="542"/>
      <c r="J122" s="509"/>
      <c r="K122" s="823"/>
    </row>
    <row r="123" spans="1:11" ht="6.75" customHeight="1">
      <c r="A123" s="829"/>
      <c r="B123" s="33">
        <f>B117+10</f>
        <v>194</v>
      </c>
      <c r="C123" s="832"/>
      <c r="D123" s="72"/>
      <c r="E123" s="39"/>
      <c r="G123" s="542"/>
      <c r="H123" s="509"/>
      <c r="I123" s="542"/>
      <c r="J123" s="509"/>
      <c r="K123" s="823"/>
    </row>
    <row r="124" spans="1:11" ht="29.45" thickBot="1">
      <c r="A124" s="830"/>
      <c r="B124" s="33">
        <f>B118+10</f>
        <v>195</v>
      </c>
      <c r="C124" s="833"/>
      <c r="D124" s="73" t="b">
        <v>0</v>
      </c>
      <c r="E124" s="50" t="s">
        <v>396</v>
      </c>
      <c r="F124" s="59"/>
      <c r="G124" s="810"/>
      <c r="H124" s="510"/>
      <c r="I124" s="810"/>
      <c r="J124" s="510"/>
      <c r="K124" s="824"/>
    </row>
    <row r="125" spans="1:11" ht="6" customHeight="1" thickBot="1">
      <c r="A125" s="85"/>
      <c r="B125" s="85"/>
      <c r="C125" s="165"/>
      <c r="D125" s="28"/>
      <c r="E125" s="27"/>
      <c r="F125" s="27"/>
      <c r="G125" s="165"/>
      <c r="H125" s="119"/>
      <c r="I125" s="165"/>
      <c r="J125" s="119"/>
      <c r="K125" s="165"/>
    </row>
    <row r="126" spans="1:11">
      <c r="A126" s="828">
        <f>A120+1</f>
        <v>20</v>
      </c>
      <c r="B126" s="33">
        <f>B120+10</f>
        <v>201</v>
      </c>
      <c r="C126" s="831"/>
      <c r="D126" s="74"/>
      <c r="E126" s="75"/>
      <c r="F126" s="54"/>
      <c r="G126" s="808"/>
      <c r="H126" s="508"/>
      <c r="I126" s="808"/>
      <c r="J126" s="508"/>
      <c r="K126" s="822"/>
    </row>
    <row r="127" spans="1:11">
      <c r="A127" s="829"/>
      <c r="B127" s="33">
        <f>B121+10</f>
        <v>202</v>
      </c>
      <c r="C127" s="832"/>
      <c r="D127" s="76"/>
      <c r="E127" s="482" t="s">
        <v>141</v>
      </c>
      <c r="F127" s="482"/>
      <c r="G127" s="542"/>
      <c r="H127" s="509"/>
      <c r="I127" s="542"/>
      <c r="J127" s="509"/>
      <c r="K127" s="823"/>
    </row>
    <row r="128" spans="1:11">
      <c r="A128" s="829"/>
      <c r="B128" s="33">
        <f>B122+10</f>
        <v>203</v>
      </c>
      <c r="C128" s="832"/>
      <c r="D128" s="71" t="b">
        <v>0</v>
      </c>
      <c r="E128" s="39" t="s">
        <v>395</v>
      </c>
      <c r="G128" s="542"/>
      <c r="H128" s="509"/>
      <c r="I128" s="542"/>
      <c r="J128" s="509"/>
      <c r="K128" s="823"/>
    </row>
    <row r="129" spans="1:11" ht="6.75" customHeight="1">
      <c r="A129" s="829"/>
      <c r="B129" s="33">
        <f>B123+10</f>
        <v>204</v>
      </c>
      <c r="C129" s="832"/>
      <c r="D129" s="72"/>
      <c r="E129" s="39"/>
      <c r="G129" s="542"/>
      <c r="H129" s="509"/>
      <c r="I129" s="542"/>
      <c r="J129" s="509"/>
      <c r="K129" s="823"/>
    </row>
    <row r="130" spans="1:11" ht="29.45" thickBot="1">
      <c r="A130" s="830"/>
      <c r="B130" s="33">
        <f>B124+10</f>
        <v>205</v>
      </c>
      <c r="C130" s="833"/>
      <c r="D130" s="73" t="b">
        <v>0</v>
      </c>
      <c r="E130" s="50" t="s">
        <v>396</v>
      </c>
      <c r="F130" s="59"/>
      <c r="G130" s="810"/>
      <c r="H130" s="510"/>
      <c r="I130" s="810"/>
      <c r="J130" s="510"/>
      <c r="K130" s="824"/>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bottomRight" activeCell="H1" sqref="H1"/>
      <selection pane="bottomLeft" activeCell="B7" sqref="B7"/>
      <selection pane="topRight" activeCell="D1" sqref="D1"/>
    </sheetView>
  </sheetViews>
  <sheetFormatPr defaultRowHeight="14.45" outlineLevelRow="1"/>
  <cols>
    <col min="1" max="1" width="2.85546875" style="200" hidden="1" customWidth="1"/>
    <col min="2" max="2" width="3.85546875" style="404" customWidth="1"/>
    <col min="3" max="3" width="0.42578125" style="31"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c r="A1" s="242"/>
      <c r="B1" s="416"/>
      <c r="C1" s="254"/>
      <c r="D1" s="253" t="s">
        <v>116</v>
      </c>
      <c r="E1" s="191"/>
      <c r="F1" s="955" t="s">
        <v>399</v>
      </c>
      <c r="G1" s="955"/>
      <c r="H1" s="251">
        <v>1</v>
      </c>
      <c r="I1" s="252"/>
      <c r="J1" s="251">
        <v>1</v>
      </c>
      <c r="K1" s="252"/>
      <c r="L1" s="251">
        <v>1</v>
      </c>
      <c r="M1" s="252"/>
      <c r="N1" s="958">
        <v>1</v>
      </c>
      <c r="O1" s="959"/>
      <c r="P1" s="248"/>
      <c r="Q1" s="192"/>
      <c r="R1" s="192"/>
      <c r="S1" s="191"/>
      <c r="T1" s="191"/>
      <c r="U1" s="191"/>
      <c r="V1" s="191"/>
      <c r="W1" s="191"/>
      <c r="X1" s="191"/>
      <c r="Y1" s="191"/>
      <c r="Z1" s="191"/>
      <c r="AA1" s="191"/>
      <c r="AB1" s="191"/>
      <c r="AC1" s="191"/>
      <c r="AD1" s="191"/>
      <c r="AE1" s="191"/>
      <c r="AF1" s="191"/>
      <c r="AG1" s="191"/>
      <c r="AH1" s="191"/>
      <c r="AI1" s="191"/>
      <c r="AJ1" s="191"/>
      <c r="AK1" s="191"/>
    </row>
    <row r="2" spans="1:37" s="12" customFormat="1" ht="35.1" customHeight="1">
      <c r="A2" s="247"/>
      <c r="B2" s="405"/>
      <c r="C2" s="255"/>
      <c r="D2" s="247"/>
      <c r="E2" s="247"/>
      <c r="F2" s="955"/>
      <c r="G2" s="955"/>
      <c r="H2" s="249" t="str">
        <f>D7</f>
        <v>Sensitivity Labels</v>
      </c>
      <c r="I2" s="247"/>
      <c r="J2" s="249" t="str">
        <f>D43</f>
        <v>Publishing</v>
      </c>
      <c r="K2" s="249"/>
      <c r="L2" s="249" t="str">
        <f>D57</f>
        <v>Service-Side Auto-Labeling Policies</v>
      </c>
      <c r="M2" s="249"/>
      <c r="N2" s="954" t="str">
        <f>D64</f>
        <v>Data Loss Prevention (DLP)</v>
      </c>
      <c r="O2" s="954"/>
      <c r="P2" s="191"/>
      <c r="Q2" s="247"/>
      <c r="R2" s="247"/>
      <c r="S2" s="247"/>
      <c r="T2" s="247"/>
      <c r="U2" s="247"/>
      <c r="V2" s="247"/>
      <c r="W2" s="247"/>
      <c r="X2" s="247"/>
      <c r="Y2" s="247"/>
      <c r="Z2" s="247"/>
      <c r="AA2" s="247"/>
      <c r="AB2" s="247"/>
      <c r="AC2" s="247"/>
      <c r="AD2" s="247"/>
      <c r="AE2" s="247"/>
      <c r="AF2" s="247"/>
      <c r="AG2" s="247"/>
      <c r="AH2" s="247"/>
      <c r="AI2" s="247"/>
      <c r="AJ2" s="247"/>
      <c r="AK2" s="247"/>
    </row>
    <row r="3" spans="1:37" s="12" customFormat="1" ht="35.1" hidden="1" customHeight="1" outlineLevel="1">
      <c r="A3" s="247"/>
      <c r="B3" s="424"/>
      <c r="C3" s="960" t="s">
        <v>125</v>
      </c>
      <c r="D3" s="646" t="s">
        <v>289</v>
      </c>
      <c r="E3" s="646"/>
      <c r="F3" s="646"/>
      <c r="G3" s="257"/>
      <c r="H3" s="962" t="s">
        <v>400</v>
      </c>
      <c r="I3" s="258"/>
      <c r="J3" s="962" t="s">
        <v>401</v>
      </c>
      <c r="K3" s="259"/>
      <c r="L3" s="962" t="s">
        <v>402</v>
      </c>
      <c r="M3" s="259"/>
      <c r="N3" s="964" t="s">
        <v>403</v>
      </c>
      <c r="O3" s="965"/>
      <c r="P3"/>
      <c r="Q3" s="474"/>
      <c r="R3" s="474"/>
      <c r="S3" s="474"/>
      <c r="T3" s="474"/>
      <c r="U3" s="474"/>
      <c r="V3" s="474"/>
      <c r="W3" s="474"/>
      <c r="X3" s="474"/>
      <c r="Y3" s="474"/>
      <c r="Z3" s="474"/>
      <c r="AA3" s="474"/>
      <c r="AB3" s="474"/>
      <c r="AC3" s="474"/>
      <c r="AD3" s="474"/>
      <c r="AE3" s="474"/>
      <c r="AF3" s="474"/>
      <c r="AG3" s="474"/>
      <c r="AH3" s="474"/>
      <c r="AI3" s="474"/>
      <c r="AJ3" s="474"/>
      <c r="AK3" s="474"/>
    </row>
    <row r="4" spans="1:37" s="12" customFormat="1" ht="48.6" hidden="1" customHeight="1" outlineLevel="1">
      <c r="A4" s="247"/>
      <c r="B4" s="424"/>
      <c r="C4" s="961"/>
      <c r="D4" s="646"/>
      <c r="E4" s="646"/>
      <c r="F4" s="646"/>
      <c r="G4" s="257"/>
      <c r="H4" s="963"/>
      <c r="I4" s="258"/>
      <c r="J4" s="963"/>
      <c r="K4" s="259"/>
      <c r="L4" s="963"/>
      <c r="M4" s="259"/>
      <c r="N4" s="636"/>
      <c r="O4" s="637"/>
      <c r="P4"/>
      <c r="Q4" s="474"/>
      <c r="R4" s="474"/>
      <c r="S4" s="474"/>
      <c r="T4" s="474"/>
      <c r="U4" s="474"/>
      <c r="V4" s="474"/>
      <c r="W4" s="474"/>
      <c r="X4" s="474"/>
      <c r="Y4" s="474"/>
      <c r="Z4" s="474"/>
      <c r="AA4" s="474"/>
      <c r="AB4" s="474"/>
      <c r="AC4" s="474"/>
      <c r="AD4" s="474"/>
      <c r="AE4" s="474"/>
      <c r="AF4" s="474"/>
      <c r="AG4" s="474"/>
      <c r="AH4" s="474"/>
      <c r="AI4" s="474"/>
      <c r="AJ4" s="474"/>
      <c r="AK4" s="474"/>
    </row>
    <row r="5" spans="1:37" s="12" customFormat="1" ht="35.1" hidden="1" customHeight="1" outlineLevel="1">
      <c r="A5" s="247"/>
      <c r="B5" s="424"/>
      <c r="C5" s="966" t="s">
        <v>133</v>
      </c>
      <c r="D5" s="612"/>
      <c r="E5" s="612"/>
      <c r="F5" s="612"/>
      <c r="G5" s="257"/>
      <c r="H5" s="524"/>
      <c r="I5" s="258"/>
      <c r="J5" s="524"/>
      <c r="K5" s="259"/>
      <c r="L5" s="524"/>
      <c r="M5" s="259"/>
      <c r="N5" s="975"/>
      <c r="O5" s="975"/>
      <c r="P5"/>
      <c r="Q5" s="474"/>
      <c r="R5" s="474"/>
      <c r="S5" s="474"/>
      <c r="T5" s="474"/>
      <c r="U5" s="474"/>
      <c r="V5" s="474"/>
      <c r="W5" s="474"/>
      <c r="X5" s="474"/>
      <c r="Y5" s="474"/>
      <c r="Z5" s="474"/>
      <c r="AA5" s="474"/>
      <c r="AB5" s="474"/>
      <c r="AC5" s="474"/>
      <c r="AD5" s="474"/>
      <c r="AE5" s="474"/>
      <c r="AF5" s="474"/>
      <c r="AG5" s="474"/>
      <c r="AH5" s="474"/>
      <c r="AI5" s="474"/>
      <c r="AJ5" s="474"/>
      <c r="AK5" s="474"/>
    </row>
    <row r="6" spans="1:37" s="12" customFormat="1" ht="35.1" hidden="1" customHeight="1" outlineLevel="1">
      <c r="A6" s="247"/>
      <c r="B6" s="424"/>
      <c r="C6" s="966"/>
      <c r="D6" s="612"/>
      <c r="E6" s="612"/>
      <c r="F6" s="612"/>
      <c r="G6" s="257"/>
      <c r="H6" s="524"/>
      <c r="I6" s="258"/>
      <c r="J6" s="524"/>
      <c r="K6" s="259"/>
      <c r="L6" s="524"/>
      <c r="M6" s="259"/>
      <c r="N6" s="975"/>
      <c r="O6" s="975"/>
      <c r="P6"/>
      <c r="Q6" s="474"/>
      <c r="R6" s="474"/>
      <c r="S6" s="474"/>
      <c r="T6" s="474"/>
      <c r="U6" s="474"/>
      <c r="V6" s="474"/>
      <c r="W6" s="474"/>
      <c r="X6" s="474"/>
      <c r="Y6" s="474"/>
      <c r="Z6" s="474"/>
      <c r="AA6" s="474"/>
      <c r="AB6" s="474"/>
      <c r="AC6" s="474"/>
      <c r="AD6" s="474"/>
      <c r="AE6" s="474"/>
      <c r="AF6" s="474"/>
      <c r="AG6" s="474"/>
      <c r="AH6" s="474"/>
      <c r="AI6" s="474"/>
      <c r="AJ6" s="474"/>
      <c r="AK6" s="474"/>
    </row>
    <row r="7" spans="1:37" ht="18.600000000000001" collapsed="1">
      <c r="C7" s="315"/>
      <c r="D7" s="202" t="str">
        <f>'Sensitivity Labels'!C1</f>
        <v>Sensitivity Labels</v>
      </c>
      <c r="E7" s="167"/>
    </row>
    <row r="8" spans="1:37" s="196" customFormat="1" ht="29.45" customHeight="1">
      <c r="A8" s="243"/>
      <c r="B8" s="406"/>
      <c r="C8" s="255"/>
      <c r="D8" s="519" t="str">
        <f>'Sensitivity Labels'!C3</f>
        <v>Label/Parent Label/Label Group/Sub-Label:</v>
      </c>
      <c r="E8" s="957" t="str">
        <f>'Sensitivity Labels'!D3</f>
        <v>Name:</v>
      </c>
      <c r="F8" s="956"/>
      <c r="G8" s="956" t="str">
        <f>'Sensitivity Labels'!E3</f>
        <v>Display Name:</v>
      </c>
      <c r="H8" s="956"/>
      <c r="I8" s="956" t="str">
        <f>'Sensitivity Labels'!F3</f>
        <v>Scope:</v>
      </c>
      <c r="J8" s="956"/>
      <c r="K8" s="956"/>
      <c r="L8" s="956"/>
      <c r="M8" s="956"/>
      <c r="N8" s="956"/>
      <c r="O8" s="956"/>
      <c r="P8" s="956"/>
      <c r="Q8" s="956"/>
      <c r="R8" s="956" t="str">
        <f>'Sensitivity Labels'!I3</f>
        <v>Description for users:</v>
      </c>
      <c r="S8" s="956"/>
      <c r="T8" s="956"/>
      <c r="U8" s="956"/>
      <c r="V8" s="956" t="str">
        <f>'Sensitivity Labels'!J3</f>
        <v>Description for admins:</v>
      </c>
      <c r="W8" s="956"/>
      <c r="X8" s="956" t="str">
        <f>'Sensitivity Labels'!K3</f>
        <v>Label Color:</v>
      </c>
      <c r="Y8" s="956"/>
    </row>
    <row r="9" spans="1:37">
      <c r="A9" s="200">
        <f>VLOOKUP(B9,'Sensitivity Labels'!$A$11:$K$170,2,FALSE)</f>
        <v>11</v>
      </c>
      <c r="B9" s="935">
        <f>H$1</f>
        <v>1</v>
      </c>
      <c r="C9" s="256"/>
      <c r="D9" s="548" t="str">
        <f>IF(VLOOKUP($A9,'Sensitivity Labels'!$B$11:$K$170,2,FALSE)="","",VLOOKUP($A9,'Sensitivity Labels'!$B$11:$K$170,2,FALSE))</f>
        <v>Label</v>
      </c>
      <c r="E9" s="921" t="str">
        <f>IF(VLOOKUP($A9,'Sensitivity Labels'!$B$11:$K$170,3,FALSE)="","",VLOOKUP($A9,'Sensitivity Labels'!$B$11:$K$170,3,FALSE))</f>
        <v>Public</v>
      </c>
      <c r="F9" s="608"/>
      <c r="G9" s="921" t="str">
        <f>IF(VLOOKUP($A9,'Sensitivity Labels'!$B$11:$K$170,4,FALSE)="","",VLOOKUP($A9,'Sensitivity Labels'!$B$11:$K$170,4,FALSE))</f>
        <v>Public</v>
      </c>
      <c r="H9" s="608"/>
      <c r="I9" s="348" t="b">
        <f>VLOOKUP($A9,'Sensitivity Labels'!$B$11:$K$170,5,FALSE)</f>
        <v>1</v>
      </c>
      <c r="J9" s="221" t="s">
        <v>143</v>
      </c>
      <c r="K9" s="856" t="s">
        <v>144</v>
      </c>
      <c r="L9" s="856"/>
      <c r="M9" s="856"/>
      <c r="N9" s="856"/>
      <c r="O9" s="856"/>
      <c r="P9" s="856"/>
      <c r="Q9" s="856"/>
      <c r="R9" s="921" t="str">
        <f>IF(VLOOKUP($A9,'Sensitivity Labels'!$B$11:$K$170,8,FALSE)="","",VLOOKUP($A9,'Sensitivity Labels'!$B$11:$K$170,8,FALSE))</f>
        <v>Business data that is prepared and approved for public consumption.</v>
      </c>
      <c r="S9" s="852"/>
      <c r="T9" s="852"/>
      <c r="U9" s="608"/>
      <c r="V9" s="921" t="str">
        <f>IF(VLOOKUP($A9,'Sensitivity Labels'!$B$11:$K$170,9,FALSE)="","",VLOOKUP($A9,'Sensitivity Labels'!$B$11:$K$170,9,FALSE))</f>
        <v/>
      </c>
      <c r="W9" s="852"/>
      <c r="X9" s="844" t="str">
        <f>VLOOKUP($A9,'Sensitivity Labels'!$B$11:$K$170,10,FALSE)</f>
        <v>Blue</v>
      </c>
      <c r="Y9" s="845"/>
    </row>
    <row r="10" spans="1:37">
      <c r="A10" s="200">
        <f t="shared" ref="A10:A15" si="0">A9+1</f>
        <v>12</v>
      </c>
      <c r="B10" s="936"/>
      <c r="C10" s="256"/>
      <c r="D10" s="548"/>
      <c r="E10" s="773"/>
      <c r="F10" s="592"/>
      <c r="G10" s="773"/>
      <c r="H10" s="592"/>
      <c r="I10" s="22"/>
      <c r="J10" s="22"/>
      <c r="L10" s="3"/>
      <c r="M10" s="3"/>
      <c r="N10" s="3"/>
      <c r="O10" s="3"/>
      <c r="P10" s="3"/>
      <c r="Q10" s="3"/>
      <c r="R10" s="773"/>
      <c r="S10" s="853"/>
      <c r="T10" s="853"/>
      <c r="U10" s="592"/>
      <c r="V10" s="773"/>
      <c r="W10" s="853"/>
      <c r="X10" s="846"/>
      <c r="Y10" s="847"/>
    </row>
    <row r="11" spans="1:37">
      <c r="A11" s="200">
        <f t="shared" si="0"/>
        <v>13</v>
      </c>
      <c r="B11" s="936"/>
      <c r="C11" s="256"/>
      <c r="D11" s="548"/>
      <c r="E11" s="773"/>
      <c r="F11" s="592"/>
      <c r="G11" s="773"/>
      <c r="H11" s="592"/>
      <c r="I11" s="349" t="b">
        <f>VLOOKUP($A11,'Sensitivity Labels'!$B$11:$K$170,5,FALSE)</f>
        <v>1</v>
      </c>
      <c r="J11" s="22" t="s">
        <v>2</v>
      </c>
      <c r="K11" s="840" t="s">
        <v>146</v>
      </c>
      <c r="L11" s="840"/>
      <c r="M11" s="840"/>
      <c r="N11" s="840"/>
      <c r="O11" s="840"/>
      <c r="P11" s="840"/>
      <c r="Q11" s="840"/>
      <c r="R11" s="773"/>
      <c r="S11" s="853"/>
      <c r="T11" s="853"/>
      <c r="U11" s="592"/>
      <c r="V11" s="773"/>
      <c r="W11" s="853"/>
      <c r="X11" s="846"/>
      <c r="Y11" s="847"/>
    </row>
    <row r="12" spans="1:37">
      <c r="A12" s="200">
        <f t="shared" si="0"/>
        <v>14</v>
      </c>
      <c r="B12" s="936"/>
      <c r="C12" s="256"/>
      <c r="D12" s="548"/>
      <c r="E12" s="773"/>
      <c r="F12" s="592"/>
      <c r="G12" s="773"/>
      <c r="H12" s="592"/>
      <c r="I12" s="22"/>
      <c r="J12" s="22"/>
      <c r="L12" s="3"/>
      <c r="M12" s="3"/>
      <c r="N12" s="3"/>
      <c r="O12" s="3"/>
      <c r="P12" s="3"/>
      <c r="Q12" s="3"/>
      <c r="R12" s="773"/>
      <c r="S12" s="853"/>
      <c r="T12" s="853"/>
      <c r="U12" s="592"/>
      <c r="V12" s="773"/>
      <c r="W12" s="853"/>
      <c r="X12" s="846"/>
      <c r="Y12" s="847"/>
    </row>
    <row r="13" spans="1:37">
      <c r="A13" s="200">
        <f t="shared" si="0"/>
        <v>15</v>
      </c>
      <c r="B13" s="936"/>
      <c r="C13" s="256"/>
      <c r="D13" s="548"/>
      <c r="E13" s="773"/>
      <c r="F13" s="592"/>
      <c r="G13" s="773"/>
      <c r="H13" s="592"/>
      <c r="I13" s="350" t="b">
        <f>VLOOKUP($A13,'Sensitivity Labels'!$B$11:$K$170,5,FALSE)</f>
        <v>0</v>
      </c>
      <c r="J13" s="72" t="s">
        <v>147</v>
      </c>
      <c r="K13" s="585" t="s">
        <v>148</v>
      </c>
      <c r="L13" s="585"/>
      <c r="M13" s="585"/>
      <c r="N13" s="585"/>
      <c r="O13" s="585"/>
      <c r="P13" s="585"/>
      <c r="Q13" s="585"/>
      <c r="R13" s="773"/>
      <c r="S13" s="853"/>
      <c r="T13" s="853"/>
      <c r="U13" s="592"/>
      <c r="V13" s="773"/>
      <c r="W13" s="853"/>
      <c r="X13" s="846"/>
      <c r="Y13" s="847"/>
    </row>
    <row r="14" spans="1:37">
      <c r="A14" s="200">
        <f t="shared" si="0"/>
        <v>16</v>
      </c>
      <c r="B14" s="936"/>
      <c r="C14" s="256"/>
      <c r="D14" s="548"/>
      <c r="E14" s="773"/>
      <c r="F14" s="592"/>
      <c r="G14" s="773"/>
      <c r="H14" s="592"/>
      <c r="I14" s="22"/>
      <c r="J14" s="22"/>
      <c r="L14" s="3"/>
      <c r="M14" s="3"/>
      <c r="N14" s="3"/>
      <c r="O14" s="3"/>
      <c r="P14" s="3"/>
      <c r="Q14" s="3"/>
      <c r="R14" s="773"/>
      <c r="S14" s="853"/>
      <c r="T14" s="853"/>
      <c r="U14" s="592"/>
      <c r="V14" s="773"/>
      <c r="W14" s="853"/>
      <c r="X14" s="846"/>
      <c r="Y14" s="847"/>
    </row>
    <row r="15" spans="1:37" ht="30" customHeight="1">
      <c r="A15" s="200">
        <f t="shared" si="0"/>
        <v>17</v>
      </c>
      <c r="B15" s="937"/>
      <c r="C15" s="256"/>
      <c r="D15" s="817"/>
      <c r="E15" s="922"/>
      <c r="F15" s="855"/>
      <c r="G15" s="922"/>
      <c r="H15" s="855"/>
      <c r="I15" s="229" t="b">
        <f>VLOOKUP($A15,'Sensitivity Labels'!$B$11:$K$170,5,FALSE)</f>
        <v>0</v>
      </c>
      <c r="J15" s="351" t="s">
        <v>99</v>
      </c>
      <c r="K15" s="865" t="s">
        <v>149</v>
      </c>
      <c r="L15" s="865"/>
      <c r="M15" s="865"/>
      <c r="N15" s="865"/>
      <c r="O15" s="865"/>
      <c r="P15" s="865"/>
      <c r="Q15" s="865"/>
      <c r="R15" s="922"/>
      <c r="S15" s="854"/>
      <c r="T15" s="854"/>
      <c r="U15" s="855"/>
      <c r="V15" s="922"/>
      <c r="W15" s="854"/>
      <c r="X15" s="848"/>
      <c r="Y15" s="849"/>
    </row>
    <row r="16" spans="1:37" ht="3.95" customHeight="1">
      <c r="B16" s="509"/>
      <c r="C16" s="256"/>
    </row>
    <row r="17" spans="1:34" ht="18.600000000000001">
      <c r="C17" s="256"/>
      <c r="D17" s="202" t="str">
        <f>'Emails, Files, &amp; Other Data'!C1</f>
        <v>Emails, Files, &amp; Other Data Assets</v>
      </c>
      <c r="E17" s="167"/>
    </row>
    <row r="18" spans="1:34" s="195" customFormat="1" ht="32.450000000000003" customHeight="1">
      <c r="A18" s="244"/>
      <c r="B18" s="407"/>
      <c r="C18" s="256"/>
      <c r="D18" s="250" t="str">
        <f>'Emails, Files, &amp; Other Data'!C3</f>
        <v>Label/Sub-Label Name:</v>
      </c>
      <c r="E18" s="948" t="str">
        <f>'Emails, Files, &amp; Other Data'!E3</f>
        <v>Choose protection settings for the types of items you selected:</v>
      </c>
      <c r="F18" s="948"/>
      <c r="G18" s="953" t="str">
        <f>'Emails, Files, &amp; Other Data'!H3</f>
        <v>Remove or Configure:</v>
      </c>
      <c r="H18" s="953"/>
      <c r="I18" s="953" t="str">
        <f>'Emails, Files, &amp; Other Data'!J3</f>
        <v>Assign:</v>
      </c>
      <c r="J18" s="953"/>
      <c r="K18" s="967" t="str">
        <f>'Emails, Files, &amp; Other Data'!L3</f>
        <v>User access to content expires:</v>
      </c>
      <c r="L18" s="968"/>
      <c r="M18" s="968"/>
      <c r="N18" s="969"/>
      <c r="O18" s="977" t="str">
        <f>'Emails, Files, &amp; Other Data'!O3</f>
        <v>Allow offline access:</v>
      </c>
      <c r="P18" s="977"/>
      <c r="Q18" s="977"/>
      <c r="R18" s="967" t="str">
        <f>'Emails, Files, &amp; Other Data'!R3</f>
        <v>Assign Permissions Now:</v>
      </c>
      <c r="S18" s="968"/>
      <c r="T18" s="968"/>
      <c r="U18" s="969"/>
      <c r="V18" s="983" t="str">
        <f>'Emails, Files, &amp; Other Data'!U3</f>
        <v>Let users assign permissions when they apply the label:</v>
      </c>
      <c r="W18" s="984"/>
      <c r="X18" s="978" t="str">
        <f>'Emails, Files, &amp; Other Data'!X3</f>
        <v>Content Marking:</v>
      </c>
      <c r="Y18" s="978"/>
      <c r="Z18" s="978"/>
      <c r="AA18" s="967" t="str">
        <f>'Emails, Files, &amp; Other Data'!AB3</f>
        <v>Auto-labeling for files and emails: "Client-side Auto-Labeling"</v>
      </c>
      <c r="AB18" s="968"/>
      <c r="AC18" s="968"/>
      <c r="AD18" s="968"/>
      <c r="AE18" s="968"/>
      <c r="AF18" s="968"/>
      <c r="AG18" s="969"/>
    </row>
    <row r="19" spans="1:34" ht="32.450000000000003" customHeight="1">
      <c r="A19" s="200">
        <f>VLOOKUP(B19,'Emails, Files, &amp; Other Data'!A10:B246,2,FALSE)</f>
        <v>11</v>
      </c>
      <c r="B19" s="834">
        <f>H$1</f>
        <v>1</v>
      </c>
      <c r="C19" s="256"/>
      <c r="D19" s="870" t="str">
        <f>IF(VLOOKUP(A19,'Emails, Files, &amp; Other Data'!$B$10:$AE$248,2,FALSE)="","",VLOOKUP(A19,'Emails, Files, &amp; Other Data'!$B$10:$AE$248,2,FALSE))</f>
        <v>Label-Public</v>
      </c>
      <c r="E19" s="387"/>
      <c r="F19" s="388"/>
      <c r="G19" s="949"/>
      <c r="H19" s="950"/>
      <c r="I19" s="951"/>
      <c r="J19" s="952"/>
      <c r="K19" s="368"/>
      <c r="L19" s="347"/>
      <c r="M19" s="347"/>
      <c r="N19" s="347"/>
      <c r="O19" s="364"/>
      <c r="P19" s="436"/>
      <c r="Q19" s="437"/>
      <c r="R19" s="878" t="s">
        <v>198</v>
      </c>
      <c r="S19" s="878"/>
      <c r="T19" s="878"/>
      <c r="U19" s="879"/>
      <c r="V19" s="877" t="s">
        <v>199</v>
      </c>
      <c r="W19" s="879"/>
      <c r="X19" s="520"/>
      <c r="Y19" s="39"/>
      <c r="Z19" s="39"/>
      <c r="AA19" s="352"/>
      <c r="AB19" s="179"/>
      <c r="AC19" s="179"/>
      <c r="AD19" s="179"/>
      <c r="AE19" s="179"/>
      <c r="AF19" s="492"/>
      <c r="AG19" s="527"/>
      <c r="AH19" s="21"/>
    </row>
    <row r="20" spans="1:34" ht="15" customHeight="1">
      <c r="A20" s="200">
        <f>A19+1</f>
        <v>12</v>
      </c>
      <c r="B20" s="835"/>
      <c r="C20" s="256"/>
      <c r="D20" s="870"/>
      <c r="E20" s="389"/>
      <c r="F20" s="390"/>
      <c r="G20" s="492"/>
      <c r="H20" s="346"/>
      <c r="I20" s="371"/>
      <c r="J20" s="372"/>
      <c r="K20" s="369"/>
      <c r="L20" s="347"/>
      <c r="M20" s="347"/>
      <c r="N20" s="347"/>
      <c r="O20" s="365"/>
      <c r="P20" s="482"/>
      <c r="Q20" s="438"/>
      <c r="R20" s="8"/>
      <c r="S20" s="581" t="str">
        <f>IF(VLOOKUP($A20,'Emails, Files, &amp; Other Data'!$B$10:$AE$248,17,FALSE)="","",VLOOKUP($A20,'Emails, Files, &amp; Other Data'!$B$10:$AE$248,17,FALSE))</f>
        <v/>
      </c>
      <c r="T20" s="581"/>
      <c r="U20" s="976"/>
      <c r="V20" s="359"/>
      <c r="W20" s="522" t="str">
        <f>IF(VLOOKUP($A21,'Emails, Files, &amp; Other Data'!$B$10:$AE$248,20,FALSE)="","",VLOOKUP($A21,'Emails, Files, &amp; Other Data'!$B$10:$AE$248,20,FALSE))</f>
        <v/>
      </c>
      <c r="X20" s="357"/>
      <c r="Y20" s="39"/>
      <c r="Z20" s="39"/>
      <c r="AA20" s="129"/>
      <c r="AB20" s="179"/>
      <c r="AC20" s="179"/>
      <c r="AD20" s="179"/>
      <c r="AE20" s="179"/>
      <c r="AF20" s="492"/>
      <c r="AG20" s="346"/>
      <c r="AH20" s="21"/>
    </row>
    <row r="21" spans="1:34" ht="15" customHeight="1">
      <c r="A21" s="200">
        <f t="shared" ref="A21:A27" si="1">A20+1</f>
        <v>13</v>
      </c>
      <c r="B21" s="835"/>
      <c r="C21" s="256"/>
      <c r="D21" s="870"/>
      <c r="E21" s="367" t="b">
        <f>VLOOKUP($A21,'Emails, Files, &amp; Other Data'!$B$10:$AE$248,4,FALSE)</f>
        <v>0</v>
      </c>
      <c r="F21" s="379" t="s">
        <v>404</v>
      </c>
      <c r="G21" s="171" t="b">
        <f>VLOOKUP($A21,'Emails, Files, &amp; Other Data'!$B$10:$AE$248,7,FALSE)</f>
        <v>0</v>
      </c>
      <c r="H21" s="941" t="s">
        <v>202</v>
      </c>
      <c r="I21" s="172" t="b">
        <f>VLOOKUP($A21,'Emails, Files, &amp; Other Data'!$B$10:$AE$248,9,FALSE)</f>
        <v>0</v>
      </c>
      <c r="J21" s="373" t="s">
        <v>203</v>
      </c>
      <c r="K21" s="363" t="b">
        <f>VLOOKUP($A21,'Emails, Files, &amp; Other Data'!$B$10:$AE$248,11,FALSE)</f>
        <v>0</v>
      </c>
      <c r="L21" s="8" t="s">
        <v>204</v>
      </c>
      <c r="M21" s="3"/>
      <c r="N21" s="3"/>
      <c r="O21" s="363" t="b">
        <f>VLOOKUP($A21,'Emails, Files, &amp; Other Data'!$B$10:$AE$248,14,FALSE)</f>
        <v>0</v>
      </c>
      <c r="P21" s="8" t="s">
        <v>205</v>
      </c>
      <c r="Q21" s="379"/>
      <c r="R21" s="435"/>
      <c r="S21" s="581"/>
      <c r="T21" s="581"/>
      <c r="U21" s="976"/>
      <c r="V21" s="987" t="b">
        <f>VLOOKUP($A22,'Emails, Files, &amp; Other Data'!$B$10:$AE$248,20,FALSE)</f>
        <v>0</v>
      </c>
      <c r="W21" s="986" t="s">
        <v>212</v>
      </c>
      <c r="X21" s="358" t="b">
        <f>VLOOKUP($A21,'Emails, Files, &amp; Other Data'!$B$10:$AE$248,23,FALSE)</f>
        <v>0</v>
      </c>
      <c r="Y21" s="176" t="s">
        <v>206</v>
      </c>
      <c r="Z21" s="490" t="str">
        <f>IF(VLOOKUP($A21,'Emails, Files, &amp; Other Data'!$B$10:$AE$248,25,FALSE)="","",VLOOKUP($A21,'Emails, Files, &amp; Other Data'!$B$10:$AE$248,25,FALSE))</f>
        <v/>
      </c>
      <c r="AA21" s="353"/>
      <c r="AB21" s="177" t="b">
        <f>VLOOKUP($A21,'Emails, Files, &amp; Other Data'!$B$10:$AE$248,27,FALSE)</f>
        <v>0</v>
      </c>
      <c r="AC21" s="14" t="s">
        <v>207</v>
      </c>
      <c r="AD21" s="14"/>
      <c r="AE21" s="14"/>
      <c r="AF21" s="14" t="str">
        <f>IF(VLOOKUP($A21,'Emails, Files, &amp; Other Data'!$B$10:$AE$248,30,FALSE)="","",VLOOKUP($A21,'Emails, Files, &amp; Other Data'!$B$10:$AE$248,30,FALSE))</f>
        <v/>
      </c>
      <c r="AG21" s="227"/>
    </row>
    <row r="22" spans="1:34" ht="19.5" customHeight="1">
      <c r="A22" s="200">
        <f t="shared" si="1"/>
        <v>14</v>
      </c>
      <c r="B22" s="835"/>
      <c r="C22" s="256"/>
      <c r="D22" s="870"/>
      <c r="E22" s="367" t="b">
        <f>VLOOKUP(A22,'Emails, Files, &amp; Other Data'!$B$10:$AE$248,4,FALSE)</f>
        <v>0</v>
      </c>
      <c r="F22" s="391" t="s">
        <v>405</v>
      </c>
      <c r="G22" s="14"/>
      <c r="H22" s="941"/>
      <c r="I22" s="172" t="b">
        <f>VLOOKUP($A22,'Emails, Files, &amp; Other Data'!$B$10:$AE$248,9,FALSE)</f>
        <v>0</v>
      </c>
      <c r="J22" s="944" t="s">
        <v>209</v>
      </c>
      <c r="K22" s="370" t="b">
        <f>VLOOKUP($A22,'Emails, Files, &amp; Other Data'!$B$10:$AE$248,11,FALSE)</f>
        <v>0</v>
      </c>
      <c r="L22" s="173" t="s">
        <v>210</v>
      </c>
      <c r="M22" s="970">
        <f>VLOOKUP($A22,'Emails, Files, &amp; Other Data'!$B$10:$AE$248,13,FALSE)</f>
        <v>44197</v>
      </c>
      <c r="N22" s="970"/>
      <c r="O22" s="363" t="b">
        <f>VLOOKUP($A22,'Emails, Files, &amp; Other Data'!$B$10:$AE$248,14,FALSE)</f>
        <v>0</v>
      </c>
      <c r="P22" s="8" t="s">
        <v>204</v>
      </c>
      <c r="Q22" s="379"/>
      <c r="R22" s="174" t="b">
        <f>VLOOKUP($A22,'Emails, Files, &amp; Other Data'!$B$10:$AE$248,17,FALSE)</f>
        <v>0</v>
      </c>
      <c r="S22" s="585" t="s">
        <v>211</v>
      </c>
      <c r="T22" s="585"/>
      <c r="U22" s="360"/>
      <c r="V22" s="987"/>
      <c r="W22" s="986"/>
      <c r="X22" s="358" t="b">
        <f>VLOOKUP($A22,'Emails, Files, &amp; Other Data'!$B$10:$AE$248,23,FALSE)</f>
        <v>0</v>
      </c>
      <c r="Y22" s="8" t="s">
        <v>213</v>
      </c>
      <c r="Z22" s="490" t="str">
        <f>IF(VLOOKUP($A22,'Emails, Files, &amp; Other Data'!$B$10:$AE$248,25,FALSE)="","",VLOOKUP($A22,'Emails, Files, &amp; Other Data'!$B$10:$AE$248,25,FALSE))</f>
        <v/>
      </c>
      <c r="AA22" s="353"/>
      <c r="AB22" s="492"/>
      <c r="AC22" s="179"/>
      <c r="AD22" s="179"/>
      <c r="AE22" s="179"/>
      <c r="AF22" s="21"/>
      <c r="AG22" s="228"/>
    </row>
    <row r="23" spans="1:34" ht="15" customHeight="1">
      <c r="A23" s="200">
        <f t="shared" si="1"/>
        <v>15</v>
      </c>
      <c r="B23" s="835"/>
      <c r="C23" s="256"/>
      <c r="D23" s="870"/>
      <c r="E23" s="367" t="b">
        <f>VLOOKUP(A23,'Emails, Files, &amp; Other Data'!$B$10:$AE$248,4,FALSE)</f>
        <v>0</v>
      </c>
      <c r="F23" s="942" t="s">
        <v>215</v>
      </c>
      <c r="G23" s="171" t="b">
        <f>VLOOKUP($A23,'Emails, Files, &amp; Other Data'!$B$10:$AE$248,7,FALSE)</f>
        <v>0</v>
      </c>
      <c r="H23" s="386" t="s">
        <v>216</v>
      </c>
      <c r="I23" s="356"/>
      <c r="J23" s="944"/>
      <c r="K23" s="363" t="b">
        <f>VLOOKUP($A23,'Emails, Files, &amp; Other Data'!$B$10:$AE$248,11,FALSE)</f>
        <v>0</v>
      </c>
      <c r="L23" s="39" t="s">
        <v>217</v>
      </c>
      <c r="M23" s="971">
        <f>VLOOKUP($A23,'Emails, Files, &amp; Other Data'!$B$10:$AE$248,13,FALSE)</f>
        <v>78</v>
      </c>
      <c r="N23" s="971"/>
      <c r="O23" s="363" t="b">
        <f>VLOOKUP($A23,'Emails, Files, &amp; Other Data'!$B$10:$AE$248,14,FALSE)</f>
        <v>0</v>
      </c>
      <c r="P23" s="8" t="s">
        <v>217</v>
      </c>
      <c r="Q23" s="439">
        <f>VLOOKUP($A23,'Emails, Files, &amp; Other Data'!$B$10:$AE$248,16,FALSE)</f>
        <v>76</v>
      </c>
      <c r="R23" s="39"/>
      <c r="S23" s="581" t="str">
        <f>IF(VLOOKUP($A23,'Emails, Files, &amp; Other Data'!$B$10:$AE$248,17,FALSE)="","",VLOOKUP($A23,'Emails, Files, &amp; Other Data'!$B$10:$AE$248,17,FALSE))</f>
        <v/>
      </c>
      <c r="T23" s="581"/>
      <c r="U23" s="976"/>
      <c r="V23" s="521" t="b">
        <f>VLOOKUP($A24,'Emails, Files, &amp; Other Data'!$B$10:$AE$248,20,FALSE)</f>
        <v>0</v>
      </c>
      <c r="W23" s="218" t="s">
        <v>219</v>
      </c>
      <c r="X23" s="358" t="b">
        <f>VLOOKUP($A23,'Emails, Files, &amp; Other Data'!$B$10:$AE$248,23,FALSE)</f>
        <v>0</v>
      </c>
      <c r="Y23" s="8" t="s">
        <v>406</v>
      </c>
      <c r="Z23" s="585" t="str">
        <f>IF(VLOOKUP($A23,'Emails, Files, &amp; Other Data'!$B$10:$AE$248,25,FALSE)="","",VLOOKUP($A23,'Emails, Files, &amp; Other Data'!$B$10:$AE$248,25,FALSE))</f>
        <v/>
      </c>
      <c r="AA23" s="354"/>
      <c r="AB23" s="979" t="str">
        <f>IF(VLOOKUP($A23,'Emails, Files, &amp; Other Data'!$B$10:$AE$248,28,FALSE)="","",VLOOKUP($A23,'Emails, Files, &amp; Other Data'!$B$10:$AE$248,28,FALSE))</f>
        <v/>
      </c>
      <c r="AC23" s="980"/>
      <c r="AD23" s="499"/>
      <c r="AE23" s="499"/>
      <c r="AF23" s="14" t="str">
        <f>IF(VLOOKUP($A23,'Emails, Files, &amp; Other Data'!$B$10:$AE$248,30,FALSE)="","",VLOOKUP($A23,'Emails, Files, &amp; Other Data'!$B$10:$AE$248,30,FALSE))</f>
        <v/>
      </c>
      <c r="AG23" s="227"/>
    </row>
    <row r="24" spans="1:34" ht="15" customHeight="1">
      <c r="A24" s="200">
        <f t="shared" si="1"/>
        <v>16</v>
      </c>
      <c r="B24" s="835"/>
      <c r="C24" s="256"/>
      <c r="D24" s="870"/>
      <c r="E24" s="366"/>
      <c r="F24" s="942"/>
      <c r="G24" s="14"/>
      <c r="H24" s="227"/>
      <c r="I24" s="356"/>
      <c r="J24" s="944"/>
      <c r="K24" s="366"/>
      <c r="L24" s="3"/>
      <c r="M24" s="3"/>
      <c r="N24" s="3"/>
      <c r="O24" s="366"/>
      <c r="P24" s="3"/>
      <c r="Q24" s="379"/>
      <c r="R24" s="39"/>
      <c r="S24" s="581"/>
      <c r="T24" s="581"/>
      <c r="U24" s="976"/>
      <c r="V24" s="356"/>
      <c r="W24" s="522" t="str">
        <f>IF(VLOOKUP($A25,'Emails, Files, &amp; Other Data'!$B$10:$AE$248,20,FALSE)="","",VLOOKUP($A25,'Emails, Files, &amp; Other Data'!$B$10:$AE$248,20,FALSE))</f>
        <v/>
      </c>
      <c r="X24" s="357"/>
      <c r="Y24" s="8"/>
      <c r="Z24" s="585"/>
      <c r="AA24" s="355"/>
      <c r="AB24" s="14"/>
      <c r="AC24" s="14"/>
      <c r="AD24" s="14"/>
      <c r="AE24" s="14"/>
      <c r="AF24" s="14"/>
      <c r="AG24" s="227"/>
    </row>
    <row r="25" spans="1:34" ht="15" customHeight="1">
      <c r="A25" s="200">
        <f t="shared" si="1"/>
        <v>17</v>
      </c>
      <c r="B25" s="835"/>
      <c r="C25" s="256"/>
      <c r="D25" s="870"/>
      <c r="E25" s="129"/>
      <c r="F25" s="379"/>
      <c r="G25" s="14"/>
      <c r="H25" s="227"/>
      <c r="I25" s="374"/>
      <c r="J25" s="375"/>
      <c r="K25" s="366"/>
      <c r="L25" s="3"/>
      <c r="M25" s="3"/>
      <c r="N25" s="3"/>
      <c r="O25" s="366"/>
      <c r="P25" s="3"/>
      <c r="Q25" s="379"/>
      <c r="R25" s="174" t="b">
        <f>VLOOKUP($A25,'Emails, Files, &amp; Other Data'!$B$10:$AE$248,17,FALSE)</f>
        <v>0</v>
      </c>
      <c r="S25" s="585" t="s">
        <v>220</v>
      </c>
      <c r="T25" s="585"/>
      <c r="U25" s="360"/>
      <c r="V25" s="521" t="b">
        <f>VLOOKUP($A26,'Emails, Files, &amp; Other Data'!$B$10:$AE$248,20,FALSE)</f>
        <v>0</v>
      </c>
      <c r="W25" s="360" t="s">
        <v>221</v>
      </c>
      <c r="X25" s="356"/>
      <c r="Y25" s="8"/>
      <c r="Z25" s="8"/>
      <c r="AA25" s="355"/>
      <c r="AB25" s="14"/>
      <c r="AC25" s="14"/>
      <c r="AD25" s="14"/>
      <c r="AE25" s="14"/>
      <c r="AF25" s="14"/>
      <c r="AG25" s="227"/>
    </row>
    <row r="26" spans="1:34" ht="15" customHeight="1">
      <c r="A26" s="200">
        <f t="shared" si="1"/>
        <v>18</v>
      </c>
      <c r="B26" s="835"/>
      <c r="C26" s="256"/>
      <c r="D26" s="870"/>
      <c r="E26" s="129"/>
      <c r="F26" s="379"/>
      <c r="G26" s="181"/>
      <c r="H26" s="227"/>
      <c r="I26" s="374"/>
      <c r="J26" s="375"/>
      <c r="K26" s="366"/>
      <c r="L26" s="3"/>
      <c r="M26" s="3"/>
      <c r="N26" s="3"/>
      <c r="O26" s="366"/>
      <c r="P26" s="3"/>
      <c r="Q26" s="379"/>
      <c r="R26" s="39"/>
      <c r="S26" s="581" t="str">
        <f>IF(VLOOKUP($A26,'Emails, Files, &amp; Other Data'!$B$10:$AE$248,17,FALSE)="","",VLOOKUP($A26,'Emails, Files, &amp; Other Data'!$B$10:$AE$248,17,FALSE))</f>
        <v/>
      </c>
      <c r="T26" s="581"/>
      <c r="U26" s="976"/>
      <c r="V26" s="359"/>
      <c r="W26" s="988" t="str">
        <f>IF(VLOOKUP($A27,'Emails, Files, &amp; Other Data'!$B$10:$AE$248,20,FALSE)="","",VLOOKUP($A27,'Emails, Files, &amp; Other Data'!$B$10:$AE$248,20,FALSE))</f>
        <v/>
      </c>
      <c r="X26" s="356"/>
      <c r="Y26" s="8"/>
      <c r="Z26" s="8"/>
      <c r="AA26" s="355"/>
      <c r="AB26" s="14"/>
      <c r="AC26" s="14"/>
      <c r="AD26" s="14"/>
      <c r="AE26" s="14"/>
      <c r="AF26" s="14"/>
      <c r="AG26" s="227"/>
    </row>
    <row r="27" spans="1:34" ht="15" customHeight="1">
      <c r="A27" s="200">
        <f t="shared" si="1"/>
        <v>19</v>
      </c>
      <c r="B27" s="835"/>
      <c r="C27" s="256"/>
      <c r="D27" s="870"/>
      <c r="E27" s="366"/>
      <c r="F27" s="379"/>
      <c r="G27" s="14"/>
      <c r="H27" s="227"/>
      <c r="I27" s="374"/>
      <c r="J27" s="375"/>
      <c r="K27" s="366"/>
      <c r="L27" s="3"/>
      <c r="M27" s="3"/>
      <c r="N27" s="3"/>
      <c r="O27" s="366"/>
      <c r="P27" s="3"/>
      <c r="Q27" s="379"/>
      <c r="R27" s="39"/>
      <c r="S27" s="581"/>
      <c r="T27" s="581"/>
      <c r="U27" s="976"/>
      <c r="V27" s="356"/>
      <c r="W27" s="988"/>
      <c r="X27" s="356"/>
      <c r="Y27" s="8"/>
      <c r="Z27" s="8"/>
      <c r="AA27" s="356"/>
      <c r="AB27" s="14"/>
      <c r="AC27" s="14"/>
      <c r="AD27" s="14"/>
      <c r="AE27" s="14"/>
      <c r="AF27" s="14"/>
      <c r="AG27" s="227"/>
    </row>
    <row r="28" spans="1:34" ht="16.5" customHeight="1">
      <c r="B28" s="836"/>
      <c r="C28" s="256"/>
      <c r="D28" s="870"/>
      <c r="E28" s="211"/>
      <c r="F28" s="220"/>
      <c r="G28" s="219"/>
      <c r="H28" s="220"/>
      <c r="I28" s="211"/>
      <c r="J28" s="220"/>
      <c r="K28" s="211"/>
      <c r="L28" s="219"/>
      <c r="M28" s="219"/>
      <c r="N28" s="219"/>
      <c r="O28" s="211"/>
      <c r="P28" s="219"/>
      <c r="Q28" s="220"/>
      <c r="R28" s="223"/>
      <c r="S28" s="223"/>
      <c r="T28" s="223"/>
      <c r="U28" s="362"/>
      <c r="V28" s="361"/>
      <c r="W28" s="362"/>
      <c r="X28" s="211"/>
      <c r="Y28" s="219"/>
      <c r="Z28" s="219"/>
      <c r="AA28" s="211"/>
      <c r="AB28" s="219"/>
      <c r="AC28" s="219"/>
      <c r="AD28" s="219"/>
      <c r="AE28" s="219"/>
      <c r="AF28" s="219"/>
      <c r="AG28" s="220"/>
    </row>
    <row r="29" spans="1:34" ht="18.600000000000001">
      <c r="C29" s="256"/>
      <c r="D29" s="202" t="str">
        <f>'Teams meetings and chats'!B1</f>
        <v>Teams meetings and chats</v>
      </c>
      <c r="E29" s="32"/>
      <c r="F29" s="32"/>
      <c r="G29" s="32"/>
      <c r="H29" s="32"/>
    </row>
    <row r="30" spans="1:34" s="193" customFormat="1" ht="30.95" customHeight="1">
      <c r="A30" s="245"/>
      <c r="B30" s="408"/>
      <c r="C30" s="255"/>
      <c r="D30" s="422" t="str">
        <f>'Teams meetings and chats'!B2</f>
        <v>Label/Sub-Label Name:</v>
      </c>
      <c r="E30" s="945" t="str">
        <f>'Teams meetings and chats'!D2</f>
        <v>Control who can Bypass the Lobby:</v>
      </c>
      <c r="F30" s="946"/>
      <c r="G30" s="946"/>
      <c r="H30" s="946"/>
      <c r="I30" s="946" t="str">
        <f>'Teams meetings and chats'!I2</f>
        <v>Control Who Can Present:</v>
      </c>
      <c r="J30" s="946"/>
      <c r="K30" s="972" t="str">
        <f>'Teams meetings and chats'!K2</f>
        <v>Control who can Record and Transcribe:</v>
      </c>
      <c r="L30" s="973"/>
      <c r="M30" s="974"/>
      <c r="N30" s="946" t="str">
        <f>'Teams meetings and chats'!M2</f>
        <v>Control Whether Meetings are Recorded Automatically:</v>
      </c>
      <c r="O30" s="946"/>
      <c r="P30" s="946"/>
      <c r="Q30" s="947" t="str">
        <f>'Teams meetings and chats'!O2</f>
        <v>Control End-to-end Encryption for Meeting Video and Audio:</v>
      </c>
      <c r="R30" s="947"/>
      <c r="S30" s="947"/>
      <c r="T30" s="947"/>
      <c r="U30" s="947"/>
      <c r="V30" s="985" t="str">
        <f>'Teams meetings and chats'!Q2</f>
        <v>Control Watermarks:</v>
      </c>
      <c r="W30" s="985"/>
      <c r="X30" s="985"/>
      <c r="Y30" s="985"/>
      <c r="Z30" s="889" t="str">
        <f>'Teams meetings and chats'!U2</f>
        <v>Detect sensitive content during screen sharing:</v>
      </c>
      <c r="AA30" s="891"/>
      <c r="AB30" s="972" t="str">
        <f>'Teams meetings and chats'!W2</f>
        <v>Control Meeting Chat:</v>
      </c>
      <c r="AC30" s="973"/>
      <c r="AD30" s="974"/>
      <c r="AE30" s="981" t="str">
        <f>'Teams meetings and chats'!Y2</f>
        <v>Prevent Copying and Forwarding of Meeting Content:</v>
      </c>
      <c r="AF30" s="982"/>
      <c r="AG30" s="945"/>
    </row>
    <row r="31" spans="1:34" s="3" customFormat="1" ht="43.5">
      <c r="A31" s="246"/>
      <c r="B31" s="409">
        <f>H$1</f>
        <v>1</v>
      </c>
      <c r="C31" s="262"/>
      <c r="D31" s="516" t="str">
        <f>IF(VLOOKUP($B31,'Teams meetings and chats'!$A11:$Y50,2,FALSE)="","",VLOOKUP($B31,'Teams meetings and chats'!$A11:$Y50,2,FALSE))</f>
        <v>Label-Public - Pending checkbox selection on Sensitivity Labels Tab</v>
      </c>
      <c r="E31" s="881" t="str">
        <f>IF(VLOOKUP($B31,'Teams meetings and chats'!$A11:$Y50,4,FALSE)="","",VLOOKUP($B31,'Teams meetings and chats'!$A11:$Y50,4,FALSE))</f>
        <v/>
      </c>
      <c r="F31" s="883"/>
      <c r="G31" s="403" t="b">
        <f>VLOOKUP($B31,'Teams meetings and chats'!$A11:$Y50,6,FALSE)</f>
        <v>0</v>
      </c>
      <c r="H31" s="87" t="s">
        <v>249</v>
      </c>
      <c r="I31" s="881" t="str">
        <f>IF(VLOOKUP($B31,'Teams meetings and chats'!$A11:$Y50,9,FALSE)="","",VLOOKUP($B31,'Teams meetings and chats'!$A11:$Y50,9,FALSE))</f>
        <v/>
      </c>
      <c r="J31" s="883"/>
      <c r="K31" s="881" t="str">
        <f>IF(VLOOKUP($B31,'Teams meetings and chats'!$A11:$Y50,11,FALSE)="","",VLOOKUP($B31,'Teams meetings and chats'!$A11:$Y50,11,FALSE))</f>
        <v/>
      </c>
      <c r="L31" s="882"/>
      <c r="M31" s="883"/>
      <c r="N31" s="881" t="str">
        <f>IF(VLOOKUP($B31,'Teams meetings and chats'!$A11:$Y50,13,FALSE)="","",VLOOKUP($B31,'Teams meetings and chats'!$A11:$Y50,13,FALSE))</f>
        <v/>
      </c>
      <c r="O31" s="882"/>
      <c r="P31" s="883"/>
      <c r="Q31" s="870" t="str">
        <f>IF(VLOOKUP($B31,'Teams meetings and chats'!$A11:$Y50,15,FALSE)="","",VLOOKUP($B31,'Teams meetings and chats'!$A11:$Y50,15,FALSE))</f>
        <v/>
      </c>
      <c r="R31" s="893"/>
      <c r="S31" s="893"/>
      <c r="T31" s="893"/>
      <c r="U31" s="832"/>
      <c r="V31" s="542" t="str">
        <f>IF(VLOOKUP($B31,'Teams meetings and chats'!$A11:$Y50,17,FALSE)="","",VLOOKUP($B31,'Teams meetings and chats'!$A11:$Y50,17,FALSE))</f>
        <v/>
      </c>
      <c r="W31" s="870"/>
      <c r="X31" s="870" t="str">
        <f>IF(VLOOKUP($B31,'Teams meetings and chats'!$A11:$Y50,19,FALSE)="","",VLOOKUP($B31,'Teams meetings and chats'!$A11:$Y50,19,FALSE))</f>
        <v/>
      </c>
      <c r="Y31" s="832"/>
      <c r="Z31" s="832" t="str">
        <f>IF(VLOOKUP($B31,'Teams meetings and chats'!$A11:$Y50,21,FALSE)="","",VLOOKUP($B31,'Teams meetings and chats'!$A11:$Y50,21,FALSE))</f>
        <v/>
      </c>
      <c r="AA31" s="542"/>
      <c r="AB31" s="870" t="str">
        <f>IF(VLOOKUP($B31,'Teams meetings and chats'!$A11:$Y50,23,FALSE)="","",VLOOKUP($B31,'Teams meetings and chats'!$A11:$Y50,23,FALSE))</f>
        <v/>
      </c>
      <c r="AC31" s="893"/>
      <c r="AD31" s="832"/>
      <c r="AE31" s="870" t="str">
        <f>IF(VLOOKUP($B31,'Teams meetings and chats'!$A11:$Y50,25,FALSE)="","",VLOOKUP($B31,'Teams meetings and chats'!$A11:$Y50,25,FALSE))</f>
        <v/>
      </c>
      <c r="AF31" s="893"/>
      <c r="AG31" s="832"/>
    </row>
    <row r="32" spans="1:34" ht="3" customHeight="1">
      <c r="B32" s="509"/>
      <c r="C32" s="256"/>
      <c r="D32" s="474"/>
      <c r="E32" s="2"/>
      <c r="F32" s="2"/>
      <c r="G32" s="200"/>
      <c r="I32" s="534"/>
      <c r="J32" s="534"/>
      <c r="K32" s="2"/>
      <c r="L32" s="2"/>
      <c r="M32" s="2"/>
      <c r="N32" s="2"/>
      <c r="O32" s="2"/>
      <c r="P32" s="2"/>
      <c r="Q32" s="2"/>
      <c r="R32" s="2"/>
      <c r="S32" s="2"/>
      <c r="T32" s="2"/>
      <c r="U32" s="2"/>
      <c r="V32" s="2"/>
      <c r="W32" s="2"/>
      <c r="X32" s="474"/>
      <c r="Y32" s="474"/>
      <c r="Z32" s="474"/>
      <c r="AA32" s="474"/>
      <c r="AB32" s="474"/>
      <c r="AC32" s="474"/>
      <c r="AD32" s="474"/>
      <c r="AE32" s="474"/>
      <c r="AF32" s="474"/>
      <c r="AG32" s="474"/>
    </row>
    <row r="33" spans="1:34" ht="5.0999999999999996" customHeight="1">
      <c r="B33" s="509"/>
      <c r="C33" s="256"/>
      <c r="D33" s="474"/>
      <c r="E33" s="2"/>
      <c r="F33" s="2"/>
      <c r="G33" s="200"/>
      <c r="I33" s="534"/>
      <c r="J33" s="534"/>
      <c r="K33" s="2"/>
      <c r="L33" s="2"/>
      <c r="M33" s="2"/>
      <c r="N33" s="2"/>
      <c r="O33" s="2"/>
      <c r="P33" s="2"/>
      <c r="Q33" s="2"/>
      <c r="R33" s="2"/>
      <c r="S33" s="2"/>
      <c r="T33" s="2"/>
      <c r="U33" s="2"/>
      <c r="V33" s="2"/>
      <c r="W33" s="2"/>
      <c r="X33" s="474"/>
      <c r="Y33" s="474"/>
      <c r="Z33" s="474"/>
      <c r="AA33" s="474"/>
      <c r="AB33" s="474"/>
      <c r="AC33" s="474"/>
      <c r="AD33" s="474"/>
      <c r="AE33" s="474"/>
      <c r="AF33" s="474"/>
      <c r="AG33" s="474"/>
    </row>
    <row r="34" spans="1:34" ht="18.600000000000001">
      <c r="B34" s="410"/>
      <c r="C34" s="256"/>
      <c r="D34" s="202" t="str">
        <f>'Groups &amp; Sites'!C1</f>
        <v>Groups &amp; Sites</v>
      </c>
    </row>
    <row r="35" spans="1:34" s="3" customFormat="1" ht="30.95" customHeight="1">
      <c r="A35" s="246"/>
      <c r="B35" s="411"/>
      <c r="C35" s="256"/>
      <c r="D35" s="421" t="str">
        <f>'Groups &amp; Sites'!C3</f>
        <v>Label/Sub-Label Name:</v>
      </c>
      <c r="E35" s="947" t="str">
        <f>'Groups &amp; Sites'!E3</f>
        <v>Define protection settings for groups and sites:</v>
      </c>
      <c r="F35" s="947"/>
      <c r="G35" s="947" t="str">
        <f>'Groups &amp; Sites'!H3</f>
        <v>Define privacy and external user access settings:</v>
      </c>
      <c r="H35" s="947"/>
      <c r="I35" s="837" t="str">
        <f>'Groups &amp; Sites'!K3</f>
        <v>External sharing and Conditional Access:</v>
      </c>
      <c r="J35" s="838"/>
      <c r="K35" s="838"/>
      <c r="L35" s="421" t="str">
        <f>'Groups &amp; Sites'!N3</f>
        <v>External sharing:</v>
      </c>
      <c r="M35" s="889" t="str">
        <f>'Groups &amp; Sites'!P3</f>
        <v>Conditional Access:</v>
      </c>
      <c r="N35" s="890"/>
      <c r="O35" s="890"/>
      <c r="P35" s="890"/>
      <c r="Q35" s="891"/>
      <c r="R35" s="889" t="str">
        <f>'Groups &amp; Sites'!S3</f>
        <v>Private teams discoverability and shared channel controls:</v>
      </c>
      <c r="S35" s="890"/>
      <c r="T35" s="890"/>
      <c r="U35" s="891"/>
    </row>
    <row r="36" spans="1:34" ht="35.1" customHeight="1">
      <c r="A36" s="200">
        <f>VLOOKUP(B36,'Groups &amp; Sites'!$A$13:$T$191,2,FALSE)</f>
        <v>11</v>
      </c>
      <c r="B36" s="935">
        <f>H$1</f>
        <v>1</v>
      </c>
      <c r="C36" s="256"/>
      <c r="D36" s="874" t="str">
        <f>IF(VLOOKUP($A36,'Groups &amp; Sites'!$B$13:$T$191,2,FALSE)="","",VLOOKUP($A36,'Groups &amp; Sites'!$B$13:$T$191,2,FALSE))</f>
        <v>Label-Public - Pending checkbox selection on Sensitivity Labels Tab</v>
      </c>
      <c r="E36" s="237" t="b">
        <f>VLOOKUP($A36,'Groups &amp; Sites'!$B$13:$T$191,4,FALSE)</f>
        <v>0</v>
      </c>
      <c r="F36" s="224" t="s">
        <v>263</v>
      </c>
      <c r="G36" s="894" t="str">
        <f>IF(VLOOKUP($A36,'Groups &amp; Sites'!$B$13:$T$191,7,FALSE)="","",VLOOKUP($A36,'Groups &amp; Sites'!$B$13:$T$191,7,FALSE))</f>
        <v/>
      </c>
      <c r="H36" s="895"/>
      <c r="I36" s="239" t="b">
        <f>VLOOKUP($A36,'Groups &amp; Sites'!$B$13:$T$191,10,FALSE)</f>
        <v>0</v>
      </c>
      <c r="J36" s="225" t="s">
        <v>264</v>
      </c>
      <c r="K36" s="214"/>
      <c r="L36" s="415" t="s">
        <v>265</v>
      </c>
      <c r="M36" s="877" t="s">
        <v>266</v>
      </c>
      <c r="N36" s="878"/>
      <c r="O36" s="878"/>
      <c r="P36" s="878"/>
      <c r="Q36" s="879"/>
      <c r="R36" s="884" t="s">
        <v>267</v>
      </c>
      <c r="S36" s="884"/>
      <c r="T36" s="884"/>
      <c r="U36" s="885"/>
    </row>
    <row r="37" spans="1:34" ht="29.1" customHeight="1">
      <c r="A37" s="200">
        <f>A36+1</f>
        <v>12</v>
      </c>
      <c r="B37" s="936"/>
      <c r="C37" s="256"/>
      <c r="D37" s="875"/>
      <c r="E37" s="238" t="b">
        <f>VLOOKUP($A37,'Groups &amp; Sites'!$B$13:$T$191,4,FALSE)</f>
        <v>0</v>
      </c>
      <c r="F37" s="199" t="s">
        <v>268</v>
      </c>
      <c r="G37" s="359"/>
      <c r="H37" s="482"/>
      <c r="I37" s="896" t="b">
        <f>VLOOKUP($A37,'Groups &amp; Sites'!$B$13:$T$191,10,FALSE)</f>
        <v>0</v>
      </c>
      <c r="J37" s="585" t="s">
        <v>266</v>
      </c>
      <c r="L37" s="359" t="str">
        <f>IF(VLOOKUP($A38,'Groups &amp; Sites'!$B$13:$T$191,13,FALSE)="","",VLOOKUP($A38,'Groups &amp; Sites'!$B$13:$T$191,13,FALSE))</f>
        <v/>
      </c>
      <c r="M37" s="376" t="b">
        <f>VLOOKUP($A37,'Groups &amp; Sites'!$B$13:$T$191,15,FALSE)</f>
        <v>0</v>
      </c>
      <c r="N37" s="585" t="s">
        <v>269</v>
      </c>
      <c r="O37" s="585"/>
      <c r="P37" s="585"/>
      <c r="Q37" s="892"/>
      <c r="R37" s="71" t="b">
        <f>VLOOKUP($A37,'Groups &amp; Sites'!$B$13:$T$191,18,FALSE)</f>
        <v>0</v>
      </c>
      <c r="S37" s="886" t="s">
        <v>270</v>
      </c>
      <c r="T37" s="887"/>
      <c r="U37" s="888"/>
    </row>
    <row r="38" spans="1:34" ht="29.45" customHeight="1">
      <c r="A38" s="200">
        <f>A37+1</f>
        <v>13</v>
      </c>
      <c r="B38" s="936"/>
      <c r="C38" s="256"/>
      <c r="D38" s="875"/>
      <c r="E38" s="238" t="b">
        <f>VLOOKUP($A38,'Groups &amp; Sites'!$B$13:$T$191,4,FALSE)</f>
        <v>0</v>
      </c>
      <c r="F38" s="412" t="s">
        <v>271</v>
      </c>
      <c r="G38" s="240" t="b">
        <f>VLOOKUP($A38,'Groups &amp; Sites'!$B$13:$T$191,7,FALSE)</f>
        <v>0</v>
      </c>
      <c r="H38" s="887" t="s">
        <v>272</v>
      </c>
      <c r="I38" s="896"/>
      <c r="J38" s="585"/>
      <c r="L38" s="129"/>
      <c r="M38" s="359"/>
      <c r="N38" s="880" t="str">
        <f>IF(VLOOKUP($A38,'Groups &amp; Sites'!$B$13:$T$191,16,FALSE)="","",VLOOKUP($A38,'Groups &amp; Sites'!$B$13:$T$191,16,FALSE))</f>
        <v/>
      </c>
      <c r="O38" s="880"/>
      <c r="P38" s="880"/>
      <c r="Q38" s="377"/>
      <c r="R38" s="125" t="s">
        <v>273</v>
      </c>
      <c r="S38" s="125"/>
      <c r="T38" s="125"/>
      <c r="U38" s="222"/>
    </row>
    <row r="39" spans="1:34">
      <c r="A39" s="200">
        <f>A38+1</f>
        <v>14</v>
      </c>
      <c r="B39" s="936"/>
      <c r="C39" s="256"/>
      <c r="D39" s="875"/>
      <c r="G39" s="359"/>
      <c r="H39" s="887"/>
      <c r="I39" s="129"/>
      <c r="L39" s="129"/>
      <c r="M39" s="240" t="b">
        <f>VLOOKUP($A39,'Groups &amp; Sites'!$B$13:$T$191,15,FALSE)</f>
        <v>0</v>
      </c>
      <c r="N39" s="39" t="s">
        <v>274</v>
      </c>
      <c r="Q39" s="222"/>
      <c r="R39" s="40" t="b">
        <f>VLOOKUP($A39,'Groups &amp; Sites'!$B$13:$T$191,18,FALSE)</f>
        <v>0</v>
      </c>
      <c r="S39" s="39" t="s">
        <v>275</v>
      </c>
      <c r="T39" s="39"/>
      <c r="U39" s="222"/>
    </row>
    <row r="40" spans="1:34" ht="29.1" customHeight="1">
      <c r="A40" s="200">
        <f>A39+1</f>
        <v>15</v>
      </c>
      <c r="B40" s="936"/>
      <c r="C40" s="256"/>
      <c r="D40" s="875"/>
      <c r="G40" s="359"/>
      <c r="H40" s="887"/>
      <c r="I40" s="129"/>
      <c r="L40" s="414"/>
      <c r="M40" s="129"/>
      <c r="N40" s="880" t="str">
        <f>IF(VLOOKUP($A41,'Groups &amp; Sites'!$B$13:$T$191,16,FALSE)="","",VLOOKUP($A41,'Groups &amp; Sites'!$B$13:$T$191,16,FALSE))</f>
        <v/>
      </c>
      <c r="O40" s="880"/>
      <c r="P40" s="880"/>
      <c r="Q40" s="377"/>
      <c r="R40" s="71" t="b">
        <f>VLOOKUP($A40,'Groups &amp; Sites'!$B$13:$T$191,18,FALSE)</f>
        <v>0</v>
      </c>
      <c r="S40" s="72" t="s">
        <v>276</v>
      </c>
      <c r="T40" s="39"/>
      <c r="U40" s="222"/>
    </row>
    <row r="41" spans="1:34" ht="21.6" customHeight="1">
      <c r="A41" s="200">
        <f>A40+1</f>
        <v>16</v>
      </c>
      <c r="B41" s="937"/>
      <c r="C41" s="256"/>
      <c r="D41" s="876"/>
      <c r="E41" s="219"/>
      <c r="F41" s="219"/>
      <c r="G41" s="361"/>
      <c r="H41" s="223"/>
      <c r="I41" s="211"/>
      <c r="J41" s="219"/>
      <c r="K41" s="219"/>
      <c r="L41" s="211"/>
      <c r="M41" s="211"/>
      <c r="N41" s="219"/>
      <c r="O41" s="219"/>
      <c r="P41" s="219"/>
      <c r="Q41" s="220"/>
      <c r="R41" s="226" t="b">
        <f>VLOOKUP($A41,'Groups &amp; Sites'!$B$13:$T$191,18,FALSE)</f>
        <v>0</v>
      </c>
      <c r="S41" s="223" t="s">
        <v>277</v>
      </c>
      <c r="T41" s="223"/>
      <c r="U41" s="220"/>
    </row>
    <row r="42" spans="1:34" ht="6.95" customHeight="1">
      <c r="B42" s="509"/>
      <c r="C42" s="256"/>
    </row>
    <row r="43" spans="1:34" ht="18.600000000000001">
      <c r="B43" s="509"/>
      <c r="C43" s="256"/>
      <c r="D43" s="202" t="str">
        <f>Publishing!C1</f>
        <v>Publishing</v>
      </c>
    </row>
    <row r="44" spans="1:34" ht="36" customHeight="1">
      <c r="B44" s="518"/>
      <c r="C44" s="255"/>
      <c r="D44" s="418" t="str">
        <f>Publishing!C3</f>
        <v>Name:</v>
      </c>
      <c r="E44" s="869" t="str">
        <f>Publishing!E3</f>
        <v>Description:</v>
      </c>
      <c r="F44" s="841"/>
      <c r="G44" s="943" t="str">
        <f>Publishing!G3</f>
        <v>Choose sensitivity labels to publish:</v>
      </c>
      <c r="H44" s="943"/>
      <c r="I44" s="841" t="str">
        <f>Publishing!I3</f>
        <v>Assign admin units:</v>
      </c>
      <c r="J44" s="841"/>
      <c r="K44" s="841" t="str">
        <f>Publishing!K3</f>
        <v>Publish to users and groups:</v>
      </c>
      <c r="L44" s="841"/>
      <c r="M44" s="842" t="str">
        <f>Publishing!M3</f>
        <v>Policy settings:</v>
      </c>
      <c r="N44" s="843"/>
      <c r="O44" s="843"/>
      <c r="P44" s="843"/>
      <c r="Q44" s="843"/>
      <c r="R44" s="871" t="str">
        <f>Publishing!P3</f>
        <v>Default settings for documents​:</v>
      </c>
      <c r="S44" s="872"/>
      <c r="T44" s="872"/>
      <c r="U44" s="873"/>
      <c r="V44" s="869" t="str">
        <f>Publishing!S3</f>
        <v>Default settings for emails:</v>
      </c>
      <c r="W44" s="841"/>
      <c r="X44" s="871" t="str">
        <f>Publishing!V3</f>
        <v>Default settings for meetings and calendar events:</v>
      </c>
      <c r="Y44" s="872"/>
      <c r="Z44" s="872"/>
      <c r="AA44" s="873"/>
      <c r="AB44" s="867" t="str">
        <f>Publishing!Y3</f>
        <v>Default settings for sites and groups</v>
      </c>
      <c r="AC44" s="868"/>
      <c r="AD44" s="869"/>
      <c r="AE44" s="871" t="str">
        <f>Publishing!AB3</f>
        <v>Default settings for Fabric and Power BI content:</v>
      </c>
      <c r="AF44" s="872"/>
      <c r="AG44" s="872"/>
      <c r="AH44" s="873"/>
    </row>
    <row r="45" spans="1:34">
      <c r="A45" s="200">
        <f>VLOOKUP(B45,Publishing!A$13:AD$253,2,FALSE)</f>
        <v>11</v>
      </c>
      <c r="B45" s="834">
        <f>J1</f>
        <v>1</v>
      </c>
      <c r="C45" s="255"/>
      <c r="D45" s="548" t="str">
        <f>IF(VLOOKUP($A45,Publishing!$B$13:$AC$251,2,FALSE)="","",VLOOKUP($A45,Publishing!$B$13:$AC$251,2,FALSE))</f>
        <v>Company Wide</v>
      </c>
      <c r="E45" s="852" t="str">
        <f>IF(VLOOKUP($A45,Publishing!$B$13:$AC$251,4,FALSE)="","",VLOOKUP($A45,Publishing!$B$13:$AC$251,4,FALSE))</f>
        <v/>
      </c>
      <c r="F45" s="608"/>
      <c r="G45" s="844" t="str">
        <f>IF(VLOOKUP($A45,Publishing!$B$13:$AC$251,6,FALSE)="","",VLOOKUP($A45,Publishing!$B$13:$AC$251,6,FALSE))</f>
        <v>All Labels</v>
      </c>
      <c r="H45" s="845"/>
      <c r="I45" s="844" t="str">
        <f>IF(VLOOKUP($A45,Publishing!$B$13:$AC$251,8,FALSE)="","",VLOOKUP($A45,Publishing!$B$13:$AC$251,8,FALSE))</f>
        <v/>
      </c>
      <c r="J45" s="850"/>
      <c r="K45" s="844" t="str">
        <f>IF(VLOOKUP($A45,Publishing!$B$13:$AC$251,10,FALSE)="","",VLOOKUP($A45,Publishing!$B$13:$AC$251,10,FALSE))</f>
        <v>All users and groups</v>
      </c>
      <c r="L45" s="845"/>
      <c r="M45" s="213" t="b">
        <f>VLOOKUP($A45,Publishing!$B$13:$AC$251,12,FALSE)</f>
        <v>1</v>
      </c>
      <c r="N45" s="856" t="s">
        <v>325</v>
      </c>
      <c r="O45" s="856"/>
      <c r="P45" s="856"/>
      <c r="Q45" s="856"/>
      <c r="R45" s="352"/>
      <c r="S45" s="900" t="s">
        <v>326</v>
      </c>
      <c r="T45" s="900"/>
      <c r="U45" s="901"/>
      <c r="V45" s="857"/>
      <c r="W45" s="214" t="s">
        <v>327</v>
      </c>
      <c r="X45" s="858"/>
      <c r="Y45" s="214" t="s">
        <v>328</v>
      </c>
      <c r="Z45" s="214"/>
      <c r="AA45" s="430"/>
      <c r="AB45" s="536"/>
      <c r="AC45" s="214" t="s">
        <v>329</v>
      </c>
      <c r="AD45" s="217"/>
      <c r="AE45" s="850"/>
      <c r="AF45" s="839" t="s">
        <v>330</v>
      </c>
      <c r="AG45" s="214"/>
      <c r="AH45" s="217"/>
    </row>
    <row r="46" spans="1:34">
      <c r="A46" s="200">
        <f t="shared" ref="A46:A54" si="2">A45+1</f>
        <v>12</v>
      </c>
      <c r="B46" s="835"/>
      <c r="C46" s="255"/>
      <c r="D46" s="548"/>
      <c r="E46" s="853"/>
      <c r="F46" s="592"/>
      <c r="G46" s="846"/>
      <c r="H46" s="847"/>
      <c r="I46" s="846"/>
      <c r="J46" s="747"/>
      <c r="K46" s="846"/>
      <c r="L46" s="847"/>
      <c r="M46" s="56" t="b">
        <f>VLOOKUP($A46,Publishing!$B$13:$AC$251,12,FALSE)</f>
        <v>1</v>
      </c>
      <c r="N46" s="840" t="s">
        <v>331</v>
      </c>
      <c r="O46" s="840"/>
      <c r="P46" s="840"/>
      <c r="Q46" s="840"/>
      <c r="R46" s="380"/>
      <c r="S46" s="862" t="str">
        <f>IF(VLOOKUP($A47,Publishing!$B$13:$AC$251,16,FALSE)="","",VLOOKUP($A47,Publishing!$B$13:$AC$251,16,FALSE))</f>
        <v>General</v>
      </c>
      <c r="T46" s="856"/>
      <c r="U46" s="863"/>
      <c r="V46" s="754"/>
      <c r="W46" s="427" t="str">
        <f>IF(VLOOKUP($A47,Publishing!$B$13:$AC$251,19,FALSE)="","",VLOOKUP($A47,Publishing!$B$13:$AC$251,19,FALSE))</f>
        <v>General</v>
      </c>
      <c r="X46" s="859"/>
      <c r="Y46" s="905" t="str">
        <f>IF(VLOOKUP($A47,Publishing!$B$13:$AC$251,22,FALSE)="","",VLOOKUP($A47,Publishing!$B$13:$AC$251,22,FALSE))</f>
        <v>General</v>
      </c>
      <c r="Z46" s="906"/>
      <c r="AA46" s="431"/>
      <c r="AB46" s="537"/>
      <c r="AC46" s="9" t="str">
        <f>IF(VLOOKUP($A47,Publishing!$B$13:$AC$251,25,FALSE)="","",VLOOKUP($A47,Publishing!$B$13:$AC$251,25,FALSE))</f>
        <v>General</v>
      </c>
      <c r="AD46" s="440"/>
      <c r="AE46" s="747"/>
      <c r="AF46" s="540"/>
      <c r="AH46" s="222"/>
    </row>
    <row r="47" spans="1:34" ht="14.45" customHeight="1">
      <c r="A47" s="200">
        <f t="shared" si="2"/>
        <v>13</v>
      </c>
      <c r="B47" s="835"/>
      <c r="C47" s="255"/>
      <c r="D47" s="548"/>
      <c r="E47" s="853"/>
      <c r="F47" s="592"/>
      <c r="G47" s="846"/>
      <c r="H47" s="847"/>
      <c r="I47" s="846"/>
      <c r="J47" s="747"/>
      <c r="K47" s="846"/>
      <c r="L47" s="847"/>
      <c r="M47" s="56" t="b">
        <f>VLOOKUP($A47,Publishing!$B$13:$AC$251,12,FALSE)</f>
        <v>0</v>
      </c>
      <c r="N47" s="840" t="s">
        <v>332</v>
      </c>
      <c r="O47" s="840"/>
      <c r="P47" s="840"/>
      <c r="Q47" s="840"/>
      <c r="R47" s="380"/>
      <c r="S47" s="864"/>
      <c r="T47" s="865"/>
      <c r="U47" s="866"/>
      <c r="X47" s="432"/>
      <c r="AA47" s="379"/>
      <c r="AB47" s="129"/>
      <c r="AD47" s="222"/>
      <c r="AF47" s="9" t="str">
        <f>IF(VLOOKUP($A47,Publishing!$B$13:$AC$251,28,FALSE)="","",VLOOKUP($A47,Publishing!$B$13:$AC$251,28,FALSE))</f>
        <v/>
      </c>
      <c r="AH47" s="222"/>
    </row>
    <row r="48" spans="1:34" ht="3.95" customHeight="1">
      <c r="A48" s="200">
        <f t="shared" si="2"/>
        <v>14</v>
      </c>
      <c r="B48" s="835"/>
      <c r="C48" s="255"/>
      <c r="D48" s="548"/>
      <c r="E48" s="853"/>
      <c r="F48" s="592"/>
      <c r="G48" s="846"/>
      <c r="H48" s="847"/>
      <c r="I48" s="846"/>
      <c r="J48" s="747"/>
      <c r="K48" s="846"/>
      <c r="L48" s="847"/>
      <c r="N48" s="525"/>
      <c r="O48" s="525"/>
      <c r="P48" s="525"/>
      <c r="Q48" s="525"/>
      <c r="R48" s="380"/>
      <c r="U48" s="222"/>
      <c r="X48" s="432"/>
      <c r="Y48" s="3"/>
      <c r="Z48" s="3"/>
      <c r="AA48" s="379"/>
      <c r="AB48" s="129"/>
      <c r="AD48" s="222"/>
      <c r="AH48" s="222"/>
    </row>
    <row r="49" spans="1:37">
      <c r="A49" s="200">
        <f t="shared" si="2"/>
        <v>15</v>
      </c>
      <c r="B49" s="835"/>
      <c r="C49" s="255"/>
      <c r="D49" s="548"/>
      <c r="E49" s="853"/>
      <c r="F49" s="592"/>
      <c r="G49" s="846"/>
      <c r="H49" s="847"/>
      <c r="I49" s="846"/>
      <c r="J49" s="747"/>
      <c r="K49" s="846"/>
      <c r="L49" s="847"/>
      <c r="M49" s="56" t="b">
        <f>VLOOKUP($A49,Publishing!$B$13:$AC$251,12,FALSE)</f>
        <v>1</v>
      </c>
      <c r="N49" s="923" t="s">
        <v>333</v>
      </c>
      <c r="O49" s="923"/>
      <c r="P49" s="923"/>
      <c r="Q49" s="923"/>
      <c r="R49" s="381"/>
      <c r="U49" s="360"/>
      <c r="V49" s="40" t="b">
        <f>VLOOKUP($A49,Publishing!$B$13:$AC$251,18,FALSE)</f>
        <v>1</v>
      </c>
      <c r="W49" s="39" t="s">
        <v>334</v>
      </c>
      <c r="X49" s="204" t="b">
        <f>VLOOKUP($A49,Publishing!$B$13:$AC$251,21,FALSE)</f>
        <v>1</v>
      </c>
      <c r="Y49" s="840" t="s">
        <v>335</v>
      </c>
      <c r="Z49" s="840"/>
      <c r="AA49" s="379"/>
      <c r="AB49" s="204" t="b">
        <f>VLOOKUP($A49,Publishing!$B$13:$AC$251,24,FALSE)</f>
        <v>1</v>
      </c>
      <c r="AC49" t="s">
        <v>334</v>
      </c>
      <c r="AD49" s="222"/>
      <c r="AH49" s="222"/>
    </row>
    <row r="50" spans="1:37" ht="3.95" customHeight="1">
      <c r="A50" s="200">
        <f t="shared" si="2"/>
        <v>16</v>
      </c>
      <c r="B50" s="835"/>
      <c r="C50" s="255"/>
      <c r="D50" s="548"/>
      <c r="E50" s="853"/>
      <c r="F50" s="592"/>
      <c r="G50" s="846"/>
      <c r="H50" s="847"/>
      <c r="I50" s="846"/>
      <c r="J50" s="747"/>
      <c r="K50" s="846"/>
      <c r="L50" s="847"/>
      <c r="N50" s="534"/>
      <c r="O50" s="534"/>
      <c r="P50" s="534"/>
      <c r="Q50" s="534"/>
      <c r="R50" s="381"/>
      <c r="U50" s="360"/>
      <c r="V50" s="39"/>
      <c r="W50" s="39"/>
      <c r="X50" s="432"/>
      <c r="Y50" s="525"/>
      <c r="Z50" s="525"/>
      <c r="AA50" s="423"/>
      <c r="AB50" s="537"/>
      <c r="AD50" s="222"/>
      <c r="AH50" s="222"/>
    </row>
    <row r="51" spans="1:37">
      <c r="A51" s="200">
        <f t="shared" si="2"/>
        <v>17</v>
      </c>
      <c r="B51" s="835"/>
      <c r="C51" s="255"/>
      <c r="D51" s="548"/>
      <c r="E51" s="853"/>
      <c r="F51" s="592"/>
      <c r="G51" s="846"/>
      <c r="H51" s="847"/>
      <c r="I51" s="846"/>
      <c r="J51" s="747"/>
      <c r="K51" s="846"/>
      <c r="L51" s="847"/>
      <c r="N51" s="672" t="str">
        <f>VLOOKUP($A52,Publishing!$B$13:$AC$251,13,FALSE)</f>
        <v>Your internal Intranet SharePoint Online page with your Sensitivity Label information.</v>
      </c>
      <c r="O51" s="672"/>
      <c r="P51" s="672"/>
      <c r="R51" s="129"/>
      <c r="U51" s="222"/>
      <c r="V51" s="803" t="s">
        <v>337</v>
      </c>
      <c r="W51" s="803"/>
      <c r="X51" s="384" t="s">
        <v>338</v>
      </c>
      <c r="Y51" s="15"/>
      <c r="Z51" s="15"/>
      <c r="AA51" s="385"/>
      <c r="AB51" s="537"/>
      <c r="AD51" s="222"/>
      <c r="AH51" s="222"/>
    </row>
    <row r="52" spans="1:37" ht="14.45" customHeight="1">
      <c r="A52" s="200">
        <f t="shared" si="2"/>
        <v>18</v>
      </c>
      <c r="B52" s="835"/>
      <c r="C52" s="255"/>
      <c r="D52" s="548"/>
      <c r="E52" s="853"/>
      <c r="F52" s="592"/>
      <c r="G52" s="846"/>
      <c r="H52" s="847"/>
      <c r="I52" s="846"/>
      <c r="J52" s="747"/>
      <c r="K52" s="846"/>
      <c r="L52" s="847"/>
      <c r="R52" s="129"/>
      <c r="U52" s="222"/>
      <c r="V52" s="40" t="b">
        <f>VLOOKUP($A52,Publishing!$B$13:$AC$251,18,FALSE)</f>
        <v>1</v>
      </c>
      <c r="W52" s="3" t="s">
        <v>340</v>
      </c>
      <c r="X52" s="129"/>
      <c r="Y52" t="s">
        <v>341</v>
      </c>
      <c r="AA52" s="222"/>
      <c r="AB52" s="129"/>
      <c r="AD52" s="222"/>
      <c r="AH52" s="222"/>
    </row>
    <row r="53" spans="1:37">
      <c r="A53" s="200">
        <f t="shared" si="2"/>
        <v>19</v>
      </c>
      <c r="B53" s="835"/>
      <c r="C53" s="255"/>
      <c r="D53" s="548"/>
      <c r="E53" s="853"/>
      <c r="F53" s="592"/>
      <c r="G53" s="846"/>
      <c r="H53" s="847"/>
      <c r="I53" s="846"/>
      <c r="J53" s="747"/>
      <c r="K53" s="846"/>
      <c r="L53" s="847"/>
      <c r="N53" s="39"/>
      <c r="R53" s="129"/>
      <c r="U53" s="222"/>
      <c r="V53" s="860" t="str">
        <f>IF(VLOOKUP($A54,Publishing!$B$13:$AC$251,19,FALSE)="","",VLOOKUP($A54,Publishing!$B$13:$AC$251,19,FALSE))</f>
        <v>Automatic apply highest priority label</v>
      </c>
      <c r="W53" s="860"/>
      <c r="X53" s="432"/>
      <c r="Y53" s="861" t="str">
        <f>IF(VLOOKUP($A54,Publishing!$B$13:$AC$251,22,FALSE)="","",VLOOKUP($A54,Publishing!$B$13:$AC$251,22,FALSE))</f>
        <v>Automatic apply highest priority label</v>
      </c>
      <c r="Z53" s="861"/>
      <c r="AA53" s="378"/>
      <c r="AB53" s="441"/>
      <c r="AC53" s="65"/>
      <c r="AD53" s="378"/>
      <c r="AH53" s="222"/>
    </row>
    <row r="54" spans="1:37">
      <c r="A54" s="200">
        <f t="shared" si="2"/>
        <v>20</v>
      </c>
      <c r="B54" s="835"/>
      <c r="C54" s="255"/>
      <c r="D54" s="548"/>
      <c r="E54" s="853"/>
      <c r="F54" s="592"/>
      <c r="G54" s="846"/>
      <c r="H54" s="847"/>
      <c r="I54" s="846"/>
      <c r="J54" s="747"/>
      <c r="K54" s="846"/>
      <c r="L54" s="847"/>
      <c r="N54" s="39"/>
      <c r="R54" s="129"/>
      <c r="U54" s="222"/>
      <c r="V54" s="860"/>
      <c r="W54" s="860"/>
      <c r="X54" s="432"/>
      <c r="Y54" s="861"/>
      <c r="Z54" s="861"/>
      <c r="AA54" s="378"/>
      <c r="AB54" s="441"/>
      <c r="AC54" s="65"/>
      <c r="AD54" s="378"/>
      <c r="AH54" s="222"/>
    </row>
    <row r="55" spans="1:37">
      <c r="B55" s="836"/>
      <c r="C55" s="255"/>
      <c r="D55" s="817"/>
      <c r="E55" s="854"/>
      <c r="F55" s="855"/>
      <c r="G55" s="848"/>
      <c r="H55" s="849"/>
      <c r="I55" s="848"/>
      <c r="J55" s="851"/>
      <c r="K55" s="848"/>
      <c r="L55" s="849"/>
      <c r="M55" s="219"/>
      <c r="N55" s="219"/>
      <c r="O55" s="219"/>
      <c r="P55" s="219"/>
      <c r="Q55" s="219"/>
      <c r="R55" s="211"/>
      <c r="S55" s="219"/>
      <c r="T55" s="219"/>
      <c r="U55" s="220"/>
      <c r="V55" s="219"/>
      <c r="W55" s="429"/>
      <c r="X55" s="433"/>
      <c r="Y55" s="434"/>
      <c r="Z55" s="434"/>
      <c r="AA55" s="362"/>
      <c r="AB55" s="361"/>
      <c r="AC55" s="223"/>
      <c r="AD55" s="362"/>
      <c r="AE55" s="219"/>
      <c r="AF55" s="219"/>
      <c r="AG55" s="219"/>
      <c r="AH55" s="220"/>
    </row>
    <row r="56" spans="1:37" ht="7.5" customHeight="1">
      <c r="C56" s="256"/>
    </row>
    <row r="57" spans="1:37" ht="18.600000000000001">
      <c r="C57" s="256"/>
      <c r="D57" s="202" t="str">
        <f>'Service-side Auto-Labeling'!C1</f>
        <v>Service-Side Auto-Labeling Policies</v>
      </c>
    </row>
    <row r="58" spans="1:37" s="2" customFormat="1" ht="54.95" customHeight="1">
      <c r="A58" s="200">
        <f>VLOOKUP(B60,'Service-side Auto-Labeling'!$A$11:$AE$109,2,FALSE)</f>
        <v>10</v>
      </c>
      <c r="B58" s="404"/>
      <c r="C58" s="255"/>
      <c r="D58" s="530" t="str">
        <f>'Service-side Auto-Labeling'!C2</f>
        <v>Name</v>
      </c>
      <c r="E58" s="940" t="str">
        <f>'Service-side Auto-Labeling'!E2</f>
        <v>Policy Mode</v>
      </c>
      <c r="F58" s="898"/>
      <c r="G58" s="898" t="str">
        <f>'Service-side Auto-Labeling'!G2</f>
        <v>Description</v>
      </c>
      <c r="H58" s="898"/>
      <c r="I58" s="898" t="str">
        <f>'Service-side Auto-Labeling'!I2</f>
        <v>Label to auto-apply:</v>
      </c>
      <c r="J58" s="898"/>
      <c r="K58" s="898" t="str">
        <f>'Service-side Auto-Labeling'!K2</f>
        <v>Assign admin units:</v>
      </c>
      <c r="L58" s="898"/>
      <c r="M58" s="899" t="str">
        <f>'Service-side Auto-Labeling'!M2</f>
        <v>Locations where you want to apply the label:</v>
      </c>
      <c r="N58" s="899"/>
      <c r="O58" s="899"/>
      <c r="P58" s="528" t="str">
        <f>'Service-side Auto-Labeling'!P2</f>
        <v>Scope:</v>
      </c>
      <c r="Q58" s="918" t="str">
        <f>'Service-side Auto-Labeling'!R2</f>
        <v>Common or Advanced Rules:</v>
      </c>
      <c r="R58" s="919"/>
      <c r="S58" s="919"/>
      <c r="T58" s="920"/>
      <c r="U58" s="897" t="str">
        <f>'Service-side Auto-Labeling'!T2</f>
        <v>Common Rules:</v>
      </c>
      <c r="V58" s="897"/>
      <c r="W58" s="898" t="str">
        <f>'Service-side Auto-Labeling'!V2</f>
        <v>Rules for Exchange email:</v>
      </c>
      <c r="X58" s="898"/>
      <c r="Y58" s="899" t="str">
        <f>'Service-side Auto-Labeling'!X2</f>
        <v>Rules for SharePoint files:</v>
      </c>
      <c r="Z58" s="899"/>
      <c r="AA58" s="899"/>
      <c r="AB58" s="902" t="str">
        <f>'Service-side Auto-Labeling'!Z2</f>
        <v>Rules for OneDrive files:</v>
      </c>
      <c r="AC58" s="903"/>
      <c r="AD58" s="904"/>
      <c r="AE58" s="902" t="str">
        <f>'Service-side Auto-Labeling'!AB2</f>
        <v>Additional settings for email:</v>
      </c>
      <c r="AF58" s="903"/>
      <c r="AG58" s="903"/>
      <c r="AH58" s="903"/>
      <c r="AI58" s="903"/>
      <c r="AJ58" s="903"/>
      <c r="AK58" s="904"/>
    </row>
    <row r="59" spans="1:37" s="2" customFormat="1" ht="29.1" hidden="1" customHeight="1">
      <c r="A59" s="200"/>
      <c r="B59" s="404"/>
      <c r="C59" s="256"/>
      <c r="D59" s="419"/>
      <c r="E59" s="528"/>
      <c r="F59" s="528"/>
      <c r="G59" s="528"/>
      <c r="H59" s="528"/>
      <c r="I59" s="528"/>
      <c r="J59" s="528"/>
      <c r="K59" s="528"/>
      <c r="L59" s="528"/>
      <c r="M59" s="241"/>
      <c r="N59" s="241"/>
      <c r="O59" s="241"/>
      <c r="P59" s="236"/>
      <c r="Q59" s="233"/>
      <c r="R59" s="241"/>
      <c r="S59" s="241"/>
      <c r="T59" s="241"/>
      <c r="U59" s="531"/>
      <c r="V59" s="532"/>
      <c r="W59" s="236"/>
      <c r="X59" s="236"/>
      <c r="Y59" s="533"/>
      <c r="Z59" s="533"/>
      <c r="AA59" s="533"/>
      <c r="AB59" s="531"/>
      <c r="AC59" s="532"/>
      <c r="AD59" s="532"/>
      <c r="AE59" s="530"/>
      <c r="AF59" s="236"/>
      <c r="AG59" s="236"/>
      <c r="AH59" s="236"/>
      <c r="AI59" s="236"/>
      <c r="AJ59" s="236"/>
      <c r="AK59" s="529"/>
    </row>
    <row r="60" spans="1:37" ht="39" customHeight="1">
      <c r="A60" s="200">
        <f>A58+1</f>
        <v>11</v>
      </c>
      <c r="B60" s="935">
        <f>L1</f>
        <v>1</v>
      </c>
      <c r="C60" s="255"/>
      <c r="D60" s="542" t="str">
        <f>IF(VLOOKUP(A60,'Service-side Auto-Labeling'!$B$12:$AE$110,2,FALSE)="","",VLOOKUP(A60,'Service-side Auto-Labeling'!$B$12:$AE$110,2,FALSE))</f>
        <v/>
      </c>
      <c r="E60" s="832" t="str">
        <f>IF(VLOOKUP(A60,'Service-side Auto-Labeling'!$B$12:$AE$110,4,FALSE)="","",VLOOKUP(A60,'Service-side Auto-Labeling'!$B$12:$AE$110,4,FALSE))</f>
        <v/>
      </c>
      <c r="F60" s="542"/>
      <c r="G60" s="542" t="str">
        <f>IF(VLOOKUP($A60,'Service-side Auto-Labeling'!$B$12:$AE$110,6,FALSE)="","",VLOOKUP($A60,'Service-side Auto-Labeling'!$B$12:$AE$110,6,FALSE))</f>
        <v/>
      </c>
      <c r="H60" s="542"/>
      <c r="I60" s="542" t="str">
        <f>IF(VLOOKUP($A60,'Service-side Auto-Labeling'!$B$12:$AE$110,8,FALSE)="","",VLOOKUP($A60,'Service-side Auto-Labeling'!$B$12:$AE$110,8,FALSE))</f>
        <v/>
      </c>
      <c r="J60" s="542"/>
      <c r="K60" s="542" t="str">
        <f>IF(VLOOKUP($A60,'Service-side Auto-Labeling'!$B$12:$AE$110,10,FALSE)="","",VLOOKUP($A60,'Service-side Auto-Labeling'!$B$12:$AE$110,10,FALSE))</f>
        <v/>
      </c>
      <c r="L60" s="542"/>
      <c r="M60" s="238" t="b">
        <f>VLOOKUP($A60,'Service-side Auto-Labeling'!$B$12:$AE$110,12,FALSE)</f>
        <v>0</v>
      </c>
      <c r="N60" s="933" t="s">
        <v>370</v>
      </c>
      <c r="O60" s="933"/>
      <c r="P60" s="382" t="s">
        <v>377</v>
      </c>
      <c r="Q60" s="921" t="str">
        <f>IF(VLOOKUP($A60,'Service-side Auto-Labeling'!$B$12:$AE$110,17,FALSE)="","",VLOOKUP($A60,'Service-side Auto-Labeling'!$B$12:$AE$110,17,FALSE))</f>
        <v/>
      </c>
      <c r="R60" s="852"/>
      <c r="S60" s="852"/>
      <c r="T60" s="608"/>
      <c r="U60" s="907" t="str">
        <f>IF(VLOOKUP($A60,'Service-side Auto-Labeling'!$B$12:$AE$110,19,FALSE)="","",VLOOKUP($A60,'Service-side Auto-Labeling'!$B$12:$AE$110,19,FALSE))</f>
        <v/>
      </c>
      <c r="V60" s="908"/>
      <c r="W60" s="907" t="str">
        <f>IF(VLOOKUP($A60,'Service-side Auto-Labeling'!$B$12:$AE$110,21,FALSE)="","",VLOOKUP($A60,'Service-side Auto-Labeling'!$B$12:$AE$110,21,FALSE))</f>
        <v/>
      </c>
      <c r="X60" s="908"/>
      <c r="Y60" s="913" t="str">
        <f>IF(VLOOKUP($A60,'Service-side Auto-Labeling'!$B$12:$AE$110,23,FALSE)="","",VLOOKUP($A60,'Service-side Auto-Labeling'!$B$12:$AE$110,23,FALSE))</f>
        <v/>
      </c>
      <c r="Z60" s="914"/>
      <c r="AA60" s="914"/>
      <c r="AB60" s="924" t="str">
        <f>IF(VLOOKUP($A60,'Service-side Auto-Labeling'!$B$12:$AE$110,25,FALSE)="","",VLOOKUP($A60,'Service-side Auto-Labeling'!$B$12:$AE$110,25,FALSE))</f>
        <v/>
      </c>
      <c r="AC60" s="925"/>
      <c r="AD60" s="926"/>
      <c r="AE60" s="239" t="b">
        <f>VLOOKUP($A60,'Service-side Auto-Labeling'!$B$12:$AE$110,27,FALSE)</f>
        <v>0</v>
      </c>
      <c r="AF60" s="215" t="s">
        <v>372</v>
      </c>
      <c r="AG60" s="216"/>
      <c r="AH60" s="214"/>
      <c r="AI60" s="214"/>
      <c r="AJ60" s="214"/>
      <c r="AK60" s="217"/>
    </row>
    <row r="61" spans="1:37" ht="32.1" customHeight="1">
      <c r="A61" s="200">
        <f>A60+1</f>
        <v>12</v>
      </c>
      <c r="B61" s="936"/>
      <c r="C61" s="255"/>
      <c r="D61" s="542"/>
      <c r="E61" s="832"/>
      <c r="F61" s="542"/>
      <c r="G61" s="542"/>
      <c r="H61" s="542"/>
      <c r="I61" s="542"/>
      <c r="J61" s="542"/>
      <c r="K61" s="542"/>
      <c r="L61" s="542"/>
      <c r="M61" s="106" t="b">
        <f>VLOOKUP($A61,'Service-side Auto-Labeling'!$B$12:$AE$110,12,FALSE)</f>
        <v>0</v>
      </c>
      <c r="N61" s="934" t="s">
        <v>373</v>
      </c>
      <c r="O61" s="934"/>
      <c r="P61" s="105" t="s">
        <v>407</v>
      </c>
      <c r="Q61" s="773"/>
      <c r="R61" s="853"/>
      <c r="S61" s="853"/>
      <c r="T61" s="592"/>
      <c r="U61" s="909"/>
      <c r="V61" s="910"/>
      <c r="W61" s="909"/>
      <c r="X61" s="910"/>
      <c r="Y61" s="915"/>
      <c r="Z61" s="594"/>
      <c r="AA61" s="594"/>
      <c r="AB61" s="927"/>
      <c r="AC61" s="928"/>
      <c r="AD61" s="929"/>
      <c r="AE61" s="240" t="b">
        <f>VLOOKUP($A61,'Service-side Auto-Labeling'!$B$12:$AE$110,27,FALSE)</f>
        <v>0</v>
      </c>
      <c r="AF61" s="8" t="s">
        <v>375</v>
      </c>
      <c r="AG61" s="887" t="str">
        <f>IF(VLOOKUP($A61,'Service-side Auto-Labeling'!$B$12:$AE$110,29,FALSE)="","",VLOOKUP($A61,'Service-side Auto-Labeling'!$B$12:$AE$110,29,FALSE))</f>
        <v/>
      </c>
      <c r="AH61" s="887"/>
      <c r="AI61" s="887"/>
      <c r="AJ61" s="887"/>
      <c r="AK61" s="218"/>
    </row>
    <row r="62" spans="1:37">
      <c r="A62" s="200">
        <f>A61+1</f>
        <v>13</v>
      </c>
      <c r="B62" s="937"/>
      <c r="C62" s="255"/>
      <c r="D62" s="542"/>
      <c r="E62" s="832"/>
      <c r="F62" s="542"/>
      <c r="G62" s="542"/>
      <c r="H62" s="542"/>
      <c r="I62" s="542"/>
      <c r="J62" s="542"/>
      <c r="K62" s="542"/>
      <c r="L62" s="542"/>
      <c r="M62" s="383" t="b">
        <f>VLOOKUP($A60,'Service-side Auto-Labeling'!$B$12:$AE$110,12,FALSE)</f>
        <v>0</v>
      </c>
      <c r="N62" s="351" t="s">
        <v>376</v>
      </c>
      <c r="O62" s="351"/>
      <c r="P62" s="351" t="s">
        <v>377</v>
      </c>
      <c r="Q62" s="922"/>
      <c r="R62" s="854"/>
      <c r="S62" s="854"/>
      <c r="T62" s="855"/>
      <c r="U62" s="911"/>
      <c r="V62" s="912"/>
      <c r="W62" s="911"/>
      <c r="X62" s="912"/>
      <c r="Y62" s="916"/>
      <c r="Z62" s="917"/>
      <c r="AA62" s="917"/>
      <c r="AB62" s="930"/>
      <c r="AC62" s="931"/>
      <c r="AD62" s="932"/>
      <c r="AE62" s="211"/>
      <c r="AF62" s="219"/>
      <c r="AG62" s="535"/>
      <c r="AH62" s="219"/>
      <c r="AI62" s="219"/>
      <c r="AJ62" s="219"/>
      <c r="AK62" s="220"/>
    </row>
    <row r="63" spans="1:37">
      <c r="C63" s="256"/>
    </row>
    <row r="64" spans="1:37" ht="18.600000000000001">
      <c r="C64" s="256"/>
      <c r="D64" s="202" t="str">
        <f>'Data Loss Prevention (DLP)'!A1</f>
        <v>Data Loss Prevention (DLP)</v>
      </c>
    </row>
    <row r="65" spans="1:12">
      <c r="C65" s="255"/>
      <c r="D65" s="420" t="str">
        <f>'Data Loss Prevention (DLP)'!C3</f>
        <v>Name:</v>
      </c>
      <c r="E65" s="938" t="str">
        <f>'Data Loss Prevention (DLP)'!E3</f>
        <v>Policy mode:</v>
      </c>
      <c r="F65" s="939"/>
      <c r="G65" s="939" t="str">
        <f>'Data Loss Prevention (DLP)'!G3</f>
        <v>Assign admin units:</v>
      </c>
      <c r="H65" s="939"/>
      <c r="I65" s="939" t="str">
        <f>'Data Loss Prevention (DLP)'!I3</f>
        <v>Locations:</v>
      </c>
      <c r="J65" s="939"/>
      <c r="K65" s="939" t="str">
        <f>'Data Loss Prevention (DLP)'!K3</f>
        <v>Data Loss Prevention (DLP) rules:</v>
      </c>
      <c r="L65" s="939"/>
    </row>
    <row r="66" spans="1:12">
      <c r="A66" s="200">
        <f>VLOOKUP(B66,'Data Loss Prevention (DLP)'!$A$12:$K$130,2,FALSE)</f>
        <v>11</v>
      </c>
      <c r="B66" s="935">
        <f>N1</f>
        <v>1</v>
      </c>
      <c r="C66" s="255"/>
      <c r="D66" s="817" t="str">
        <f>IF(VLOOKUP(A66,'Data Loss Prevention (DLP)'!$B$12:$K$130,2,FALSE)="","",VLOOKUP(A66,'Data Loss Prevention (DLP)'!$B$12:$K$130,2,FALSE))</f>
        <v>Block All Employee labled content to External</v>
      </c>
      <c r="E66" s="852" t="str">
        <f>IF(VLOOKUP(A66,'Data Loss Prevention (DLP)'!$B$12:$K$130,4,FALSE)="","",VLOOKUP(A66,'Data Loss Prevention (DLP)'!$B$12:$K$130,4,FALSE))</f>
        <v>On</v>
      </c>
      <c r="F66" s="608"/>
      <c r="G66" s="542" t="str">
        <f>IF(VLOOKUP(A66,'Data Loss Prevention (DLP)'!$B$12:$K$130,6,FALSE)="","",VLOOKUP(A66,'Data Loss Prevention (DLP)'!$B$12:$K$130,6,FALSE))</f>
        <v/>
      </c>
      <c r="H66" s="542"/>
      <c r="I66" s="542" t="str">
        <f>IF(VLOOKUP(A66,'Data Loss Prevention (DLP)'!$B$12:$K$130,8,FALSE)="","",VLOOKUP(A66,'Data Loss Prevention (DLP)'!$B$12:$K$130,8,FALSE))</f>
        <v>Exchange, SharePoint, OneDrive, Devices</v>
      </c>
      <c r="J66" s="542"/>
      <c r="K66" s="542" t="str">
        <f>IF(VLOOKUP(A66,'Data Loss Prevention (DLP)'!$B$12:$K$130,10,FALSE)="","",VLOOKUP(A66,'Data Loss Prevention (DLP)'!$B$12:$K$130,10,FALSE))</f>
        <v xml:space="preserve">Blocking all employees labeled content (Confidential/Highly Confidential.) shared to external people. </v>
      </c>
      <c r="L66" s="542"/>
    </row>
    <row r="67" spans="1:12">
      <c r="A67" s="200">
        <f>A66+1</f>
        <v>12</v>
      </c>
      <c r="B67" s="936"/>
      <c r="C67" s="255"/>
      <c r="D67" s="542"/>
      <c r="E67" s="853"/>
      <c r="F67" s="592"/>
      <c r="G67" s="542"/>
      <c r="H67" s="542"/>
      <c r="I67" s="542"/>
      <c r="J67" s="542"/>
      <c r="K67" s="542"/>
      <c r="L67" s="542"/>
    </row>
    <row r="68" spans="1:12">
      <c r="A68" s="200">
        <f>A67+1</f>
        <v>13</v>
      </c>
      <c r="B68" s="936"/>
      <c r="C68" s="255"/>
      <c r="D68" s="542"/>
      <c r="E68" s="853"/>
      <c r="F68" s="592"/>
      <c r="G68" s="542"/>
      <c r="H68" s="542"/>
      <c r="I68" s="542"/>
      <c r="J68" s="542"/>
      <c r="K68" s="542"/>
      <c r="L68" s="542"/>
    </row>
    <row r="69" spans="1:12">
      <c r="A69" s="200">
        <f>A68+1</f>
        <v>14</v>
      </c>
      <c r="B69" s="936"/>
      <c r="C69" s="255"/>
      <c r="D69" s="809"/>
      <c r="E69" s="853"/>
      <c r="F69" s="592"/>
      <c r="G69" s="542"/>
      <c r="H69" s="542"/>
      <c r="I69" s="542"/>
      <c r="J69" s="542"/>
      <c r="K69" s="542"/>
      <c r="L69" s="542"/>
    </row>
    <row r="70" spans="1:12" ht="32.450000000000003" customHeight="1">
      <c r="A70" s="200">
        <f>A69+1</f>
        <v>15</v>
      </c>
      <c r="B70" s="937"/>
      <c r="C70" s="417"/>
      <c r="D70" s="542"/>
      <c r="E70" s="854"/>
      <c r="F70" s="855"/>
      <c r="G70" s="542"/>
      <c r="H70" s="542"/>
      <c r="I70" s="542"/>
      <c r="J70" s="542"/>
      <c r="K70" s="542"/>
      <c r="L70" s="542"/>
    </row>
    <row r="71" spans="1:12">
      <c r="B71" s="509"/>
      <c r="C71"/>
    </row>
    <row r="72" spans="1:12">
      <c r="B72" s="509"/>
      <c r="C72"/>
    </row>
    <row r="73" spans="1:12">
      <c r="B73" s="509"/>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2" priority="45" stopIfTrue="1">
      <formula>$I$13=FALSE</formula>
    </cfRule>
  </conditionalFormatting>
  <conditionalFormatting sqref="E19:AG28">
    <cfRule type="expression" dxfId="171" priority="1">
      <formula>AND($I$9=FALSE,$I$11=FALSE)</formula>
    </cfRule>
  </conditionalFormatting>
  <conditionalFormatting sqref="G21">
    <cfRule type="expression" dxfId="170" priority="53">
      <formula>$E$21=FALSE</formula>
    </cfRule>
    <cfRule type="expression" dxfId="169" priority="184">
      <formula>$G$23=TRUE</formula>
    </cfRule>
  </conditionalFormatting>
  <conditionalFormatting sqref="G23">
    <cfRule type="expression" dxfId="168" priority="49">
      <formula>$G$21=TRUE</formula>
    </cfRule>
    <cfRule type="expression" dxfId="167" priority="52">
      <formula>$E$21=FALSE</formula>
    </cfRule>
  </conditionalFormatting>
  <conditionalFormatting sqref="G38">
    <cfRule type="expression" dxfId="166" priority="295">
      <formula>E36=TRUE</formula>
    </cfRule>
  </conditionalFormatting>
  <conditionalFormatting sqref="G21:H21 G23:H23 H22">
    <cfRule type="expression" dxfId="165" priority="171">
      <formula>$E$21=FALSE</formula>
    </cfRule>
  </conditionalFormatting>
  <conditionalFormatting sqref="G23:H23">
    <cfRule type="expression" dxfId="164" priority="183">
      <formula>$G$21=TRUE</formula>
    </cfRule>
  </conditionalFormatting>
  <conditionalFormatting sqref="G36:H36">
    <cfRule type="cellIs" dxfId="163" priority="34" operator="equal">
      <formula>0</formula>
    </cfRule>
    <cfRule type="expression" dxfId="162" priority="298">
      <formula>E36=TRUE</formula>
    </cfRule>
  </conditionalFormatting>
  <conditionalFormatting sqref="H21:H22">
    <cfRule type="expression" dxfId="161" priority="80">
      <formula>$G$23=TRUE</formula>
    </cfRule>
  </conditionalFormatting>
  <conditionalFormatting sqref="H23">
    <cfRule type="expression" dxfId="160" priority="50">
      <formula>$G$21=TRUE</formula>
    </cfRule>
  </conditionalFormatting>
  <conditionalFormatting sqref="H38">
    <cfRule type="expression" dxfId="159" priority="296">
      <formula>E36=TRUE</formula>
    </cfRule>
  </conditionalFormatting>
  <conditionalFormatting sqref="I13">
    <cfRule type="expression" dxfId="158" priority="427">
      <formula>AND($I11=TRUE,I9=TRUE)</formula>
    </cfRule>
  </conditionalFormatting>
  <conditionalFormatting sqref="I20:I23">
    <cfRule type="expression" dxfId="157" priority="51">
      <formula>$E$21=FALSE</formula>
    </cfRule>
  </conditionalFormatting>
  <conditionalFormatting sqref="I21">
    <cfRule type="expression" dxfId="156" priority="181">
      <formula>$I$22=TRUE</formula>
    </cfRule>
    <cfRule type="expression" dxfId="155" priority="348">
      <formula>G23=TRUE</formula>
    </cfRule>
  </conditionalFormatting>
  <conditionalFormatting sqref="I22">
    <cfRule type="expression" dxfId="154" priority="82">
      <formula>$I$21=TRUE</formula>
    </cfRule>
    <cfRule type="expression" dxfId="153" priority="349">
      <formula>G23=TRUE</formula>
    </cfRule>
  </conditionalFormatting>
  <conditionalFormatting sqref="I36">
    <cfRule type="expression" dxfId="152" priority="294">
      <formula>E37=TRUE</formula>
    </cfRule>
  </conditionalFormatting>
  <conditionalFormatting sqref="I37:I38">
    <cfRule type="expression" dxfId="151" priority="291">
      <formula>E37=TRUE</formula>
    </cfRule>
  </conditionalFormatting>
  <conditionalFormatting sqref="I60">
    <cfRule type="cellIs" dxfId="150" priority="219" operator="equal">
      <formula>"Please fill out Sensitivity Labels Tab"</formula>
    </cfRule>
  </conditionalFormatting>
  <conditionalFormatting sqref="I19:J20">
    <cfRule type="expression" dxfId="149" priority="346">
      <formula>G23=TRUE</formula>
    </cfRule>
  </conditionalFormatting>
  <conditionalFormatting sqref="J13">
    <cfRule type="expression" dxfId="148" priority="426">
      <formula>AND($I11=TRUE,I9=TRUE)</formula>
    </cfRule>
  </conditionalFormatting>
  <conditionalFormatting sqref="J21">
    <cfRule type="expression" dxfId="147" priority="60">
      <formula>$I$22=TRUE</formula>
    </cfRule>
    <cfRule type="expression" dxfId="146" priority="351">
      <formula>G23=TRUE</formula>
    </cfRule>
  </conditionalFormatting>
  <conditionalFormatting sqref="J22">
    <cfRule type="expression" dxfId="145" priority="350">
      <formula>G23=TRUE</formula>
    </cfRule>
  </conditionalFormatting>
  <conditionalFormatting sqref="J22:J24">
    <cfRule type="expression" dxfId="144" priority="83">
      <formula>$I$21=TRUE</formula>
    </cfRule>
  </conditionalFormatting>
  <conditionalFormatting sqref="J36">
    <cfRule type="expression" dxfId="143" priority="293">
      <formula>E37=TRUE</formula>
    </cfRule>
  </conditionalFormatting>
  <conditionalFormatting sqref="J37:J38">
    <cfRule type="expression" dxfId="142" priority="292">
      <formula>E37=TRUE</formula>
    </cfRule>
  </conditionalFormatting>
  <conditionalFormatting sqref="K13">
    <cfRule type="expression" dxfId="141" priority="415">
      <formula>AND($I11=TRUE,I9=TRUE)</formula>
    </cfRule>
  </conditionalFormatting>
  <conditionalFormatting sqref="K21">
    <cfRule type="expression" dxfId="140" priority="77">
      <formula>$K$22=TRUE</formula>
    </cfRule>
  </conditionalFormatting>
  <conditionalFormatting sqref="K21:K22">
    <cfRule type="expression" dxfId="139" priority="64">
      <formula>$K$23=TRUE</formula>
    </cfRule>
  </conditionalFormatting>
  <conditionalFormatting sqref="K21:K23">
    <cfRule type="expression" dxfId="138" priority="78">
      <formula>AND($I$21=TRUE,$G$23=TRUE)</formula>
    </cfRule>
  </conditionalFormatting>
  <conditionalFormatting sqref="K22:K23">
    <cfRule type="expression" dxfId="137" priority="58">
      <formula>$K$21=TRUE</formula>
    </cfRule>
  </conditionalFormatting>
  <conditionalFormatting sqref="K23">
    <cfRule type="expression" dxfId="136" priority="72">
      <formula>$K$22=TRUE</formula>
    </cfRule>
  </conditionalFormatting>
  <conditionalFormatting sqref="L21">
    <cfRule type="expression" dxfId="135" priority="66">
      <formula>$K$22=TRUE</formula>
    </cfRule>
  </conditionalFormatting>
  <conditionalFormatting sqref="L21:L22">
    <cfRule type="expression" dxfId="134" priority="59">
      <formula>$K$23=TRUE</formula>
    </cfRule>
  </conditionalFormatting>
  <conditionalFormatting sqref="L21:L23">
    <cfRule type="expression" dxfId="133" priority="79">
      <formula>AND($I$21=TRUE,$G$23=TRUE)</formula>
    </cfRule>
  </conditionalFormatting>
  <conditionalFormatting sqref="L22:L23">
    <cfRule type="expression" dxfId="132" priority="74">
      <formula>$K$21=TRUE</formula>
    </cfRule>
  </conditionalFormatting>
  <conditionalFormatting sqref="L23">
    <cfRule type="expression" dxfId="131" priority="76">
      <formula>$K$22=TRUE</formula>
    </cfRule>
  </conditionalFormatting>
  <conditionalFormatting sqref="L36">
    <cfRule type="expression" dxfId="130" priority="307">
      <formula>AND(I36=TRUE,$E$37=TRUE)</formula>
    </cfRule>
  </conditionalFormatting>
  <conditionalFormatting sqref="L37">
    <cfRule type="expression" dxfId="129" priority="305">
      <formula>AND(I36=TRUE,$E$37=TRUE)</formula>
    </cfRule>
  </conditionalFormatting>
  <conditionalFormatting sqref="M36">
    <cfRule type="expression" dxfId="128" priority="304">
      <formula>AND(I37=TRUE,$E$37=TRUE)</formula>
    </cfRule>
  </conditionalFormatting>
  <conditionalFormatting sqref="M37">
    <cfRule type="expression" dxfId="127" priority="300">
      <formula>AND(I37=TRUE,$E$37=TRUE)</formula>
    </cfRule>
  </conditionalFormatting>
  <conditionalFormatting sqref="M39">
    <cfRule type="expression" dxfId="126" priority="301">
      <formula>AND(I37=TRUE,$E$37=TRUE)</formula>
    </cfRule>
  </conditionalFormatting>
  <conditionalFormatting sqref="M22:N22">
    <cfRule type="expression" dxfId="125" priority="57">
      <formula>AND($I$21=FALSE,$I$22=FALSE)</formula>
    </cfRule>
    <cfRule type="expression" dxfId="124" priority="114">
      <formula>AND($K$22=TRUE,$I$21=TRUE)</formula>
    </cfRule>
  </conditionalFormatting>
  <conditionalFormatting sqref="M22:N23">
    <cfRule type="expression" dxfId="123" priority="121">
      <formula>$K$21=TRUE</formula>
    </cfRule>
  </conditionalFormatting>
  <conditionalFormatting sqref="M23:N23">
    <cfRule type="expression" dxfId="122" priority="117">
      <formula>AND(K23=TRUE,$I$21=TRUE)</formula>
    </cfRule>
    <cfRule type="expression" dxfId="121" priority="120">
      <formula>AND(K22=TRUE,$I$21=TRUE)</formula>
    </cfRule>
  </conditionalFormatting>
  <conditionalFormatting sqref="N37">
    <cfRule type="expression" dxfId="120" priority="299">
      <formula>AND(I37=TRUE,$E$37=TRUE)</formula>
    </cfRule>
  </conditionalFormatting>
  <conditionalFormatting sqref="N39">
    <cfRule type="expression" dxfId="119" priority="4420">
      <formula>AND(I37=TRUE,$E$37=TRUE)</formula>
    </cfRule>
    <cfRule type="expression" dxfId="118" priority="4421">
      <formula>M36=TRUE</formula>
    </cfRule>
  </conditionalFormatting>
  <conditionalFormatting sqref="N53:N54 Y55:Z55">
    <cfRule type="expression" dxfId="117" priority="260">
      <formula>M51=TRUE</formula>
    </cfRule>
  </conditionalFormatting>
  <conditionalFormatting sqref="N38:P38">
    <cfRule type="expression" dxfId="116" priority="4419">
      <formula>AND($M$37=TRUE,$E$37=TRUE)</formula>
    </cfRule>
  </conditionalFormatting>
  <conditionalFormatting sqref="N40:P40">
    <cfRule type="expression" dxfId="115" priority="240">
      <formula>AND(I39,M39,$E$37)=TRUE</formula>
    </cfRule>
  </conditionalFormatting>
  <conditionalFormatting sqref="N51:P51">
    <cfRule type="expression" dxfId="114" priority="234">
      <formula>M49=TRUE</formula>
    </cfRule>
  </conditionalFormatting>
  <conditionalFormatting sqref="N31:AB31 AE31:AG31">
    <cfRule type="cellIs" dxfId="113" priority="320" operator="equal">
      <formula>0</formula>
    </cfRule>
  </conditionalFormatting>
  <conditionalFormatting sqref="O21">
    <cfRule type="expression" dxfId="112" priority="2">
      <formula>$O$23=TRUE</formula>
    </cfRule>
    <cfRule type="expression" dxfId="111" priority="6">
      <formula>$O$22=TRUE</formula>
    </cfRule>
  </conditionalFormatting>
  <conditionalFormatting sqref="O21:O23">
    <cfRule type="expression" dxfId="110" priority="15">
      <formula>AND($I$21,$G$23,$E$21)=TRUE</formula>
    </cfRule>
  </conditionalFormatting>
  <conditionalFormatting sqref="O22">
    <cfRule type="expression" dxfId="109" priority="4">
      <formula>$O$23=TRUE</formula>
    </cfRule>
  </conditionalFormatting>
  <conditionalFormatting sqref="O22:O23">
    <cfRule type="expression" dxfId="108" priority="11">
      <formula>$O$21=TRUE</formula>
    </cfRule>
  </conditionalFormatting>
  <conditionalFormatting sqref="O23">
    <cfRule type="expression" dxfId="107" priority="9">
      <formula>$O$22=TRUE</formula>
    </cfRule>
  </conditionalFormatting>
  <conditionalFormatting sqref="P21">
    <cfRule type="expression" dxfId="106" priority="8">
      <formula>$O$22=TRUE</formula>
    </cfRule>
  </conditionalFormatting>
  <conditionalFormatting sqref="P21:P22">
    <cfRule type="expression" dxfId="105" priority="5">
      <formula>$O$23=TRUE</formula>
    </cfRule>
  </conditionalFormatting>
  <conditionalFormatting sqref="P21:P23">
    <cfRule type="expression" dxfId="104" priority="17">
      <formula>AND($I$21,$G$23,$E$21)=TRUE</formula>
    </cfRule>
  </conditionalFormatting>
  <conditionalFormatting sqref="P22:P23">
    <cfRule type="expression" dxfId="103" priority="12">
      <formula>$O$21=TRUE</formula>
    </cfRule>
  </conditionalFormatting>
  <conditionalFormatting sqref="P23">
    <cfRule type="expression" dxfId="102" priority="10">
      <formula>$O$22=TRUE</formula>
    </cfRule>
  </conditionalFormatting>
  <conditionalFormatting sqref="Q23">
    <cfRule type="expression" dxfId="101" priority="91">
      <formula>AND($O$23=TRUE,$I$21=TRUE,$G$23=TRUE)</formula>
    </cfRule>
  </conditionalFormatting>
  <conditionalFormatting sqref="R36">
    <cfRule type="expression" dxfId="100" priority="290">
      <formula>E38=TRUE</formula>
    </cfRule>
  </conditionalFormatting>
  <conditionalFormatting sqref="R37">
    <cfRule type="expression" dxfId="99" priority="288">
      <formula>E38=TRUE</formula>
    </cfRule>
  </conditionalFormatting>
  <conditionalFormatting sqref="R39">
    <cfRule type="expression" dxfId="98" priority="281">
      <formula>E38=TRUE</formula>
    </cfRule>
  </conditionalFormatting>
  <conditionalFormatting sqref="R40">
    <cfRule type="expression" dxfId="97" priority="282">
      <formula>E38=TRUE</formula>
    </cfRule>
  </conditionalFormatting>
  <conditionalFormatting sqref="R22:T22">
    <cfRule type="expression" dxfId="96" priority="94">
      <formula>AND($I$21=TRUE,$G$23=TRUE)</formula>
    </cfRule>
  </conditionalFormatting>
  <conditionalFormatting sqref="R25:T25">
    <cfRule type="expression" dxfId="95" priority="95">
      <formula>AND($I$21=TRUE,$G$23=TRUE)</formula>
    </cfRule>
  </conditionalFormatting>
  <conditionalFormatting sqref="R38:T38">
    <cfRule type="expression" dxfId="94" priority="287">
      <formula>E38=TRUE</formula>
    </cfRule>
  </conditionalFormatting>
  <conditionalFormatting sqref="R19:U19">
    <cfRule type="expression" dxfId="93" priority="98">
      <formula>AND($I$21=TRUE,$G$23=TRUE)</formula>
    </cfRule>
  </conditionalFormatting>
  <conditionalFormatting sqref="S46">
    <cfRule type="expression" dxfId="92" priority="6670">
      <formula>R45=TRUE</formula>
    </cfRule>
  </conditionalFormatting>
  <conditionalFormatting sqref="S37:T37">
    <cfRule type="expression" dxfId="91" priority="289">
      <formula>E38=TRUE</formula>
    </cfRule>
  </conditionalFormatting>
  <conditionalFormatting sqref="S39:T39">
    <cfRule type="expression" dxfId="90" priority="286">
      <formula>E38=TRUE</formula>
    </cfRule>
  </conditionalFormatting>
  <conditionalFormatting sqref="S40:T40">
    <cfRule type="expression" dxfId="89" priority="285">
      <formula>E38=TRUE</formula>
    </cfRule>
  </conditionalFormatting>
  <conditionalFormatting sqref="S20:U21">
    <cfRule type="expression" dxfId="88" priority="99">
      <formula>AND($I$21=TRUE,$G$23=TRUE)</formula>
    </cfRule>
  </conditionalFormatting>
  <conditionalFormatting sqref="S23:U24">
    <cfRule type="expression" dxfId="87" priority="101">
      <formula>AND($R$22=TRUE,$I$21=TRUE,$G$23=TRUE)</formula>
    </cfRule>
  </conditionalFormatting>
  <conditionalFormatting sqref="S26:U27">
    <cfRule type="expression" dxfId="86" priority="100">
      <formula>AND($R$25=TRUE,$I$21=TRUE,$G$23=TRUE)</formula>
    </cfRule>
  </conditionalFormatting>
  <conditionalFormatting sqref="V49:V50">
    <cfRule type="expression" dxfId="85" priority="251">
      <formula>M46=TRUE</formula>
    </cfRule>
  </conditionalFormatting>
  <conditionalFormatting sqref="V52">
    <cfRule type="expression" dxfId="84" priority="31">
      <formula>M49=TRUE</formula>
    </cfRule>
  </conditionalFormatting>
  <conditionalFormatting sqref="V19:W23 V24 V25:W25 V26:V27">
    <cfRule type="expression" dxfId="83" priority="130">
      <formula>AND($G$23=TRUE,$I$22=TRUE)</formula>
    </cfRule>
  </conditionalFormatting>
  <conditionalFormatting sqref="V53:W54">
    <cfRule type="expression" dxfId="82" priority="30">
      <formula>$V$52=TRUE</formula>
    </cfRule>
  </conditionalFormatting>
  <conditionalFormatting sqref="W20">
    <cfRule type="expression" dxfId="81" priority="129">
      <formula>AND($I$22=TRUE,$G$23=TRUE)</formula>
    </cfRule>
  </conditionalFormatting>
  <conditionalFormatting sqref="W24">
    <cfRule type="expression" dxfId="80" priority="89">
      <formula>AND($V$23=TRUE,$I$22=TRUE)</formula>
    </cfRule>
  </conditionalFormatting>
  <conditionalFormatting sqref="W26:W27">
    <cfRule type="expression" dxfId="79" priority="90">
      <formula>AND($V$25=TRUE,$I$22=TRUE)</formula>
    </cfRule>
  </conditionalFormatting>
  <conditionalFormatting sqref="W46">
    <cfRule type="expression" dxfId="78" priority="87">
      <formula>$V$45=TRUE</formula>
    </cfRule>
  </conditionalFormatting>
  <conditionalFormatting sqref="W49:W50">
    <cfRule type="expression" dxfId="77" priority="252">
      <formula>M46=TRUE</formula>
    </cfRule>
  </conditionalFormatting>
  <conditionalFormatting sqref="X9">
    <cfRule type="cellIs" dxfId="76" priority="405" operator="equal">
      <formula>"Brown"</formula>
    </cfRule>
    <cfRule type="cellIs" dxfId="75" priority="406" operator="equal">
      <formula>"Amber"</formula>
    </cfRule>
    <cfRule type="cellIs" dxfId="74" priority="407" operator="equal">
      <formula>"orange"</formula>
    </cfRule>
    <cfRule type="cellIs" dxfId="73" priority="408" operator="equal">
      <formula>"Green"</formula>
    </cfRule>
    <cfRule type="cellIs" dxfId="72" priority="409" operator="equal">
      <formula>"Blue"</formula>
    </cfRule>
    <cfRule type="cellIs" dxfId="71" priority="410" operator="equal">
      <formula>"Purple"</formula>
    </cfRule>
    <cfRule type="cellIs" dxfId="70" priority="411" operator="equal">
      <formula>"Dark Gray"</formula>
    </cfRule>
    <cfRule type="cellIs" dxfId="69" priority="412" operator="equal">
      <formula>"Magenta"</formula>
    </cfRule>
    <cfRule type="cellIs" dxfId="68" priority="413" operator="equal">
      <formula>"Gray"</formula>
    </cfRule>
    <cfRule type="cellIs" dxfId="67" priority="414" operator="equal">
      <formula>"Black"</formula>
    </cfRule>
  </conditionalFormatting>
  <conditionalFormatting sqref="X21">
    <cfRule type="expression" dxfId="66" priority="126">
      <formula>E22=TRUE</formula>
    </cfRule>
  </conditionalFormatting>
  <conditionalFormatting sqref="X22">
    <cfRule type="expression" dxfId="65" priority="128">
      <formula>E22=TRUE</formula>
    </cfRule>
  </conditionalFormatting>
  <conditionalFormatting sqref="X23">
    <cfRule type="expression" dxfId="64" priority="127">
      <formula>E22=TRUE</formula>
    </cfRule>
  </conditionalFormatting>
  <conditionalFormatting sqref="Y21">
    <cfRule type="expression" dxfId="63" priority="330">
      <formula>E22=TRUE</formula>
    </cfRule>
  </conditionalFormatting>
  <conditionalFormatting sqref="Y22">
    <cfRule type="expression" dxfId="62" priority="335">
      <formula>E22=TRUE</formula>
    </cfRule>
  </conditionalFormatting>
  <conditionalFormatting sqref="Y23">
    <cfRule type="expression" dxfId="61" priority="334">
      <formula>E22=TRUE</formula>
    </cfRule>
  </conditionalFormatting>
  <conditionalFormatting sqref="Y53">
    <cfRule type="expression" dxfId="60" priority="6975">
      <formula>X49=TRUE</formula>
    </cfRule>
  </conditionalFormatting>
  <conditionalFormatting sqref="Y27:AA27">
    <cfRule type="expression" dxfId="59" priority="4378">
      <formula>AND(H23=TRUE,J22=TRUE)</formula>
    </cfRule>
  </conditionalFormatting>
  <conditionalFormatting sqref="Z23:Z24">
    <cfRule type="expression" dxfId="58" priority="125">
      <formula>AND($X23=TRUE,$E22=TRUE)</formula>
    </cfRule>
  </conditionalFormatting>
  <conditionalFormatting sqref="Z21:AA21">
    <cfRule type="expression" dxfId="57" priority="6677">
      <formula>AND(E22=TRUE,X21=TRUE)</formula>
    </cfRule>
  </conditionalFormatting>
  <conditionalFormatting sqref="Z22:AA22">
    <cfRule type="expression" dxfId="56" priority="6678">
      <formula>AND(X22=TRUE,E22=TRUE)</formula>
    </cfRule>
  </conditionalFormatting>
  <conditionalFormatting sqref="AA23">
    <cfRule type="expression" dxfId="55" priority="6679">
      <formula>AND(F22=TRUE,Y23=TRUE)</formula>
    </cfRule>
  </conditionalFormatting>
  <conditionalFormatting sqref="AA53:AB54">
    <cfRule type="expression" dxfId="54" priority="262">
      <formula>Y52=TRUE</formula>
    </cfRule>
  </conditionalFormatting>
  <conditionalFormatting sqref="AA55:AB55">
    <cfRule type="expression" dxfId="53" priority="263">
      <formula>Y52=TRUE</formula>
    </cfRule>
  </conditionalFormatting>
  <conditionalFormatting sqref="AB22:AD22">
    <cfRule type="expression" dxfId="52" priority="4358">
      <formula>AND(#REF!=TRUE,Q22=TRUE)</formula>
    </cfRule>
  </conditionalFormatting>
  <conditionalFormatting sqref="AC46:AD46">
    <cfRule type="expression" dxfId="51" priority="245">
      <formula>AB45=TRUE</formula>
    </cfRule>
  </conditionalFormatting>
  <conditionalFormatting sqref="AC53:AD54 H37">
    <cfRule type="expression" dxfId="50" priority="297">
      <formula>E36=TRUE</formula>
    </cfRule>
  </conditionalFormatting>
  <conditionalFormatting sqref="AC55:AD55">
    <cfRule type="expression" dxfId="49" priority="4397">
      <formula>Z52=TRUE</formula>
    </cfRule>
  </conditionalFormatting>
  <conditionalFormatting sqref="AE22">
    <cfRule type="expression" dxfId="48" priority="4460">
      <formula>AND(#REF!=TRUE,S22=TRUE)</formula>
    </cfRule>
  </conditionalFormatting>
  <conditionalFormatting sqref="AE60">
    <cfRule type="expression" dxfId="47" priority="225">
      <formula>M60=TRUE</formula>
    </cfRule>
  </conditionalFormatting>
  <conditionalFormatting sqref="AE61">
    <cfRule type="expression" dxfId="46" priority="224">
      <formula>M60=TRUE</formula>
    </cfRule>
  </conditionalFormatting>
  <conditionalFormatting sqref="AE61:AG61 AE60:AK60 U60 W60 AB60 D60:Q60 Y60 AK61 D61:P62 AE62:AK62">
    <cfRule type="cellIs" dxfId="45" priority="4428" operator="equal">
      <formula>0</formula>
    </cfRule>
  </conditionalFormatting>
  <conditionalFormatting sqref="AF47">
    <cfRule type="expression" dxfId="44" priority="29">
      <formula>AE46=TRUE</formula>
    </cfRule>
  </conditionalFormatting>
  <conditionalFormatting sqref="AF60">
    <cfRule type="expression" dxfId="43" priority="226">
      <formula>M60=TRUE</formula>
    </cfRule>
  </conditionalFormatting>
  <conditionalFormatting sqref="AF61">
    <cfRule type="expression" dxfId="42" priority="227">
      <formula>M60=TRUE</formula>
    </cfRule>
  </conditionalFormatting>
  <conditionalFormatting sqref="AF21:AG21">
    <cfRule type="expression" dxfId="41" priority="366">
      <formula>AB21=TRUE</formula>
    </cfRule>
  </conditionalFormatting>
  <conditionalFormatting sqref="AG60">
    <cfRule type="expression" dxfId="40" priority="4450">
      <formula>M60=FALSE</formula>
    </cfRule>
    <cfRule type="expression" dxfId="39" priority="4451">
      <formula>AE61=TRUE</formula>
    </cfRule>
  </conditionalFormatting>
  <conditionalFormatting sqref="AG61:AJ61">
    <cfRule type="expression" dxfId="38" priority="4452">
      <formula>$AE$61=TRUE</formula>
    </cfRule>
  </conditionalFormatting>
  <conditionalFormatting sqref="AH19:AH20">
    <cfRule type="expression" dxfId="37"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170" stopIfTrue="1" id="{10D28445-AD25-4B76-B205-981C7672BDF1}">
            <xm:f>K31=INputs!$AB$4</xm:f>
            <x14:dxf>
              <font>
                <color theme="2" tint="-0.499984740745262"/>
              </font>
              <fill>
                <patternFill>
                  <bgColor theme="2" tint="-0.499984740745262"/>
                </patternFill>
              </fill>
            </x14:dxf>
          </x14:cfRule>
          <x14:cfRule type="expression" priority="266" stopIfTrue="1" id="{F47964D7-A20D-4BB8-BD69-8BFF358ADF29}">
            <xm:f>K31=INputs!$AB$3</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38" stopIfTrue="1" id="{5D8D0F7E-C6E9-4F5E-938C-025F5EA373E5}">
            <xm:f>OR($Q$31=INputs!$AB$3,INputs!$AB$4=Q31)</xm:f>
            <x14:dxf>
              <font>
                <color theme="2" tint="-0.499984740745262"/>
              </font>
              <fill>
                <patternFill>
                  <bgColor theme="2" tint="-0.499984740745262"/>
                </patternFill>
              </fill>
            </x14:dxf>
          </x14:cfRule>
          <x14:cfRule type="expression" priority="54" stopIfTrue="1" id="{CC1E8B91-1C4D-4D59-A298-A8015AF1162B}">
            <xm:f>$Q$31=INputs!$AF$3</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2026-02-02T19:49:38Z</dcterms:modified>
  <cp:category/>
  <cp:contentStatus/>
</cp:coreProperties>
</file>